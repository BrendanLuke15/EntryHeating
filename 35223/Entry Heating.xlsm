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xt-brl01021\Documents\Brendan Luke-Round 2\New folder\"/>
    </mc:Choice>
  </mc:AlternateContent>
  <xr:revisionPtr revIDLastSave="0" documentId="13_ncr:1_{DD9BEA9D-9645-49DF-9DF0-BBB2FCD928B2}" xr6:coauthVersionLast="46" xr6:coauthVersionMax="46" xr10:uidLastSave="{00000000-0000-0000-0000-000000000000}"/>
  <bookViews>
    <workbookView xWindow="-19320" yWindow="-120" windowWidth="19440" windowHeight="15000" xr2:uid="{00000000-000D-0000-FFFF-FFFF00000000}"/>
  </bookViews>
  <sheets>
    <sheet name="Sheet2" sheetId="1" r:id="rId1"/>
  </sheets>
  <definedNames>
    <definedName name="h">#REF!</definedName>
    <definedName name="help">#REF!</definedName>
    <definedName name="help2">#REF!</definedName>
    <definedName name="P">#REF!</definedName>
    <definedName name="Rho">#REF!</definedName>
    <definedName name="table2" localSheetId="0">Sheet2!$F$2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" i="1" l="1"/>
  <c r="N1" i="1" s="1"/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2" i="1"/>
  <c r="D15" i="1" l="1"/>
  <c r="D14" i="1"/>
  <c r="D13" i="1"/>
  <c r="D12" i="1"/>
  <c r="D11" i="1"/>
  <c r="D10" i="1"/>
  <c r="D6" i="1"/>
  <c r="D4" i="1"/>
  <c r="Q1" i="1"/>
  <c r="E10" i="1" l="1"/>
  <c r="E12" i="1"/>
  <c r="E14" i="1"/>
  <c r="E11" i="1"/>
  <c r="G11" i="1" s="1"/>
  <c r="E13" i="1"/>
  <c r="E15" i="1"/>
  <c r="D5" i="1"/>
  <c r="D3" i="1"/>
  <c r="D9" i="1"/>
  <c r="D7" i="1"/>
  <c r="E4" i="1"/>
  <c r="G4" i="1" s="1"/>
  <c r="D2" i="1"/>
  <c r="E2" i="1" s="1"/>
  <c r="D8" i="1"/>
  <c r="E8" i="1" s="1"/>
  <c r="E6" i="1"/>
  <c r="G6" i="1" s="1"/>
  <c r="G2" i="1" l="1"/>
  <c r="E5" i="1"/>
  <c r="G5" i="1" s="1"/>
  <c r="G12" i="1"/>
  <c r="G10" i="1"/>
  <c r="E7" i="1"/>
  <c r="G7" i="1" s="1"/>
  <c r="E3" i="1"/>
  <c r="G3" i="1" s="1"/>
  <c r="G15" i="1"/>
  <c r="E9" i="1"/>
  <c r="G9" i="1" s="1"/>
  <c r="G14" i="1"/>
  <c r="G8" i="1"/>
  <c r="G13" i="1"/>
</calcChain>
</file>

<file path=xl/sharedStrings.xml><?xml version="1.0" encoding="utf-8"?>
<sst xmlns="http://schemas.openxmlformats.org/spreadsheetml/2006/main" count="13" uniqueCount="13">
  <si>
    <t>h (km)</t>
  </si>
  <si>
    <t>rho (kg/m^3)</t>
  </si>
  <si>
    <t>qR (W/cm^2)</t>
  </si>
  <si>
    <t>qConv (W/cm^2)</t>
  </si>
  <si>
    <t>qTot (W/cm^2)</t>
  </si>
  <si>
    <t>Velocity (km/s)</t>
  </si>
  <si>
    <t>Delta</t>
  </si>
  <si>
    <t>Rn (m):</t>
  </si>
  <si>
    <t>Temp (K):</t>
  </si>
  <si>
    <t>W/cm^2</t>
  </si>
  <si>
    <t>=2.195*10^-22*(F15*1000)^7.9*B15^1.2*$I$1^0.49/100/100</t>
  </si>
  <si>
    <t>=$I$1*B2^1.6*F2^8.5</t>
  </si>
  <si>
    <t>=8.497*10^-63*(F14*1000)^18*B14^1.2*$I$1^0.49/100/100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</si>
</sst>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NumberFormat="1"/>
    <xf numFmtId="11" fontId="0" fillId="0" borderId="0" xfId="0" applyNumberFormat="1" applyAlignment="1">
      <alignment horizontal="center"/>
    </xf>
    <xf numFmtId="0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Sheet2!$Q$1</c:f>
          <c:strCache>
            <c:ptCount val="1"/>
            <c:pt idx="0">
              <c:v>Max Velocity for 1533 K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Velocity for 2000 K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Sheet2!$F$2:$F$15</c:f>
              <c:numCache>
                <c:formatCode>0.0</c:formatCode>
                <c:ptCount val="14"/>
                <c:pt idx="0">
                  <c:v>1.0578533920178592</c:v>
                </c:pt>
                <c:pt idx="1">
                  <c:v>1.301874425575227</c:v>
                </c:pt>
                <c:pt idx="2">
                  <c:v>1.6578411135453743</c:v>
                </c:pt>
                <c:pt idx="3">
                  <c:v>2.2863406426082578</c:v>
                </c:pt>
                <c:pt idx="4">
                  <c:v>3.3286793858425225</c:v>
                </c:pt>
                <c:pt idx="5">
                  <c:v>3.6240032835263687</c:v>
                </c:pt>
                <c:pt idx="6">
                  <c:v>5.5964985275318133</c:v>
                </c:pt>
                <c:pt idx="7">
                  <c:v>8.1357403381006943</c:v>
                </c:pt>
                <c:pt idx="8">
                  <c:v>12.604950665265424</c:v>
                </c:pt>
                <c:pt idx="9">
                  <c:v>22.019760088472061</c:v>
                </c:pt>
                <c:pt idx="10">
                  <c:v>29.285409320857774</c:v>
                </c:pt>
                <c:pt idx="11">
                  <c:v>34.696270087481373</c:v>
                </c:pt>
                <c:pt idx="12">
                  <c:v>39.396051637099653</c:v>
                </c:pt>
                <c:pt idx="13">
                  <c:v>43.822588486693931</c:v>
                </c:pt>
              </c:numCache>
            </c:numRef>
          </c:xVal>
          <c:yVal>
            <c:numRef>
              <c:f>Sheet2!$A$2:$A$15</c:f>
              <c:numCache>
                <c:formatCode>General</c:formatCode>
                <c:ptCount val="14"/>
                <c:pt idx="0">
                  <c:v>0</c:v>
                </c:pt>
                <c:pt idx="1">
                  <c:v>11</c:v>
                </c:pt>
                <c:pt idx="2">
                  <c:v>20</c:v>
                </c:pt>
                <c:pt idx="3">
                  <c:v>32</c:v>
                </c:pt>
                <c:pt idx="4">
                  <c:v>47</c:v>
                </c:pt>
                <c:pt idx="5">
                  <c:v>51</c:v>
                </c:pt>
                <c:pt idx="6">
                  <c:v>71</c:v>
                </c:pt>
                <c:pt idx="7">
                  <c:v>86</c:v>
                </c:pt>
                <c:pt idx="8">
                  <c:v>100</c:v>
                </c:pt>
                <c:pt idx="9">
                  <c:v>120</c:v>
                </c:pt>
                <c:pt idx="10">
                  <c:v>140</c:v>
                </c:pt>
                <c:pt idx="11">
                  <c:v>160</c:v>
                </c:pt>
                <c:pt idx="12">
                  <c:v>180</c:v>
                </c:pt>
                <c:pt idx="13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83-4696-A95A-39A883AC1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550416"/>
        <c:axId val="431546104"/>
      </c:scatterChart>
      <c:valAx>
        <c:axId val="431550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Speed (km/s)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546104"/>
        <c:crosses val="autoZero"/>
        <c:crossBetween val="midCat"/>
      </c:valAx>
      <c:valAx>
        <c:axId val="431546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Altitude (km)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550416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4</xdr:row>
      <xdr:rowOff>119062</xdr:rowOff>
    </xdr:from>
    <xdr:to>
      <xdr:col>17</xdr:col>
      <xdr:colOff>19050</xdr:colOff>
      <xdr:row>23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61"/>
  <sheetViews>
    <sheetView tabSelected="1" workbookViewId="0">
      <pane ySplit="1" topLeftCell="A2" activePane="bottomLeft" state="frozen"/>
      <selection pane="bottomLeft" activeCell="D2" sqref="D2"/>
    </sheetView>
  </sheetViews>
  <sheetFormatPr defaultRowHeight="15" x14ac:dyDescent="0.25"/>
  <cols>
    <col min="2" max="3" width="12.42578125" bestFit="1" customWidth="1"/>
    <col min="4" max="4" width="15.85546875" bestFit="1" customWidth="1"/>
    <col min="5" max="5" width="14.28515625" bestFit="1" customWidth="1"/>
    <col min="6" max="6" width="13.7109375" bestFit="1" customWidth="1"/>
    <col min="7" max="7" width="9.140625" customWidth="1"/>
  </cols>
  <sheetData>
    <row r="1" spans="1:1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>
        <v>1</v>
      </c>
      <c r="K1" t="s">
        <v>8</v>
      </c>
      <c r="L1" s="1">
        <f>1260+273</f>
        <v>1533</v>
      </c>
      <c r="N1">
        <f>L1^4*0.8*5.67*10^-8/100/100</f>
        <v>25.051957444729656</v>
      </c>
      <c r="O1" t="s">
        <v>9</v>
      </c>
      <c r="Q1" t="str">
        <f>CONCATENATE("Max Velocity for ",L1," K")</f>
        <v>Max Velocity for 1533 K</v>
      </c>
    </row>
    <row r="2" spans="1:18" x14ac:dyDescent="0.25">
      <c r="A2" s="1">
        <v>0</v>
      </c>
      <c r="B2" s="5">
        <v>1.2252256827617729</v>
      </c>
      <c r="C2" s="3">
        <f>$I$1*B2^1.6*F2^8.5</f>
        <v>2.2323503359421277</v>
      </c>
      <c r="D2" s="3">
        <f t="shared" ref="D2:D15" si="0">1.7415*10^-4*(B2/$I$1)^0.5*(F2*1000)^3/100/100</f>
        <v>22.819597166641497</v>
      </c>
      <c r="E2" s="3">
        <f>D2+C2</f>
        <v>25.051947502583623</v>
      </c>
      <c r="F2" s="3">
        <v>1.0578533920178592</v>
      </c>
      <c r="G2" s="3">
        <f>E2-$N$1</f>
        <v>-9.9421460326709621E-6</v>
      </c>
      <c r="H2" s="4"/>
      <c r="I2" s="4"/>
      <c r="J2" s="6" t="s">
        <v>10</v>
      </c>
      <c r="K2" s="4"/>
      <c r="L2" s="4"/>
      <c r="M2" s="4"/>
      <c r="N2" s="4"/>
      <c r="O2" s="4"/>
      <c r="P2" s="4"/>
      <c r="Q2" s="4"/>
      <c r="R2" s="4"/>
    </row>
    <row r="3" spans="1:18" x14ac:dyDescent="0.25">
      <c r="A3" s="1">
        <v>11</v>
      </c>
      <c r="B3" s="5">
        <v>0.36398404272856161</v>
      </c>
      <c r="C3" s="3">
        <f t="shared" ref="C3:C15" si="1">$I$1*B3^1.6*F3^8.5</f>
        <v>1.8688268457685822</v>
      </c>
      <c r="D3" s="3">
        <f t="shared" si="0"/>
        <v>23.183122923446621</v>
      </c>
      <c r="E3" s="3">
        <f t="shared" ref="E3:E15" si="2">D3+C3</f>
        <v>25.051949769215202</v>
      </c>
      <c r="F3" s="3">
        <v>1.301874425575227</v>
      </c>
      <c r="G3" s="3">
        <f t="shared" ref="G3:G15" si="3">E3-$N$1</f>
        <v>-7.6755144533535713E-6</v>
      </c>
      <c r="H3" s="4"/>
      <c r="I3" s="4"/>
      <c r="J3" s="6" t="s">
        <v>11</v>
      </c>
      <c r="K3" s="4"/>
      <c r="L3" s="4"/>
      <c r="M3" s="4"/>
      <c r="N3" s="4"/>
      <c r="O3" s="4"/>
      <c r="P3" s="4"/>
      <c r="Q3" s="4"/>
      <c r="R3" s="4"/>
    </row>
    <row r="4" spans="1:18" x14ac:dyDescent="0.25">
      <c r="A4" s="1">
        <v>20</v>
      </c>
      <c r="B4" s="5">
        <v>8.8052873539186755E-2</v>
      </c>
      <c r="C4" s="3">
        <f t="shared" si="1"/>
        <v>1.5055817849850293</v>
      </c>
      <c r="D4" s="3">
        <f t="shared" si="0"/>
        <v>23.546369918231061</v>
      </c>
      <c r="E4" s="3">
        <f t="shared" si="2"/>
        <v>25.051951703216091</v>
      </c>
      <c r="F4" s="3">
        <v>1.6578411135453743</v>
      </c>
      <c r="G4" s="3">
        <f t="shared" si="3"/>
        <v>-5.7415135650273896E-6</v>
      </c>
      <c r="H4" s="4"/>
      <c r="I4" s="4"/>
      <c r="J4" s="6" t="s">
        <v>12</v>
      </c>
      <c r="K4" s="4"/>
      <c r="L4" s="4"/>
      <c r="M4" s="4"/>
      <c r="N4" s="4"/>
      <c r="O4" s="4"/>
      <c r="P4" s="4"/>
      <c r="Q4" s="4"/>
      <c r="R4" s="4"/>
    </row>
    <row r="5" spans="1:18" x14ac:dyDescent="0.25">
      <c r="A5" s="1">
        <v>32</v>
      </c>
      <c r="B5" s="5">
        <v>1.3227160480657946E-2</v>
      </c>
      <c r="C5" s="3">
        <f t="shared" si="1"/>
        <v>1.1144088620464865</v>
      </c>
      <c r="D5" s="3">
        <f t="shared" si="0"/>
        <v>23.937544562884977</v>
      </c>
      <c r="E5" s="3">
        <f t="shared" si="2"/>
        <v>25.051953424931462</v>
      </c>
      <c r="F5" s="3">
        <v>2.2863406426082578</v>
      </c>
      <c r="G5" s="3">
        <f t="shared" si="3"/>
        <v>-4.0197981938661087E-6</v>
      </c>
      <c r="H5" s="4"/>
      <c r="I5" s="4"/>
      <c r="J5" s="4"/>
      <c r="K5" s="4"/>
      <c r="L5" s="4"/>
      <c r="M5" s="4"/>
      <c r="N5" s="4"/>
      <c r="O5" s="4"/>
      <c r="P5" s="4"/>
      <c r="Q5" s="4"/>
      <c r="R5" s="4"/>
    </row>
    <row r="6" spans="1:18" x14ac:dyDescent="0.25">
      <c r="A6" s="1">
        <v>47</v>
      </c>
      <c r="B6" s="5">
        <v>1.4290027041623245E-3</v>
      </c>
      <c r="C6" s="3">
        <f t="shared" si="1"/>
        <v>0.77155092466897168</v>
      </c>
      <c r="D6" s="3">
        <f t="shared" si="0"/>
        <v>24.280403714138473</v>
      </c>
      <c r="E6" s="3">
        <f t="shared" si="2"/>
        <v>25.051954638807445</v>
      </c>
      <c r="F6" s="3">
        <v>3.3286793858425225</v>
      </c>
      <c r="G6" s="3">
        <f t="shared" si="3"/>
        <v>-2.8059222110243809E-6</v>
      </c>
      <c r="H6" s="4"/>
      <c r="I6" s="4"/>
      <c r="J6" s="4"/>
      <c r="K6" s="4"/>
      <c r="L6" s="4"/>
      <c r="M6" s="4"/>
      <c r="N6" s="4"/>
      <c r="O6" s="4"/>
      <c r="P6" s="4"/>
      <c r="Q6" s="4"/>
      <c r="R6" s="4"/>
    </row>
    <row r="7" spans="1:18" x14ac:dyDescent="0.25">
      <c r="A7" s="1">
        <v>51</v>
      </c>
      <c r="B7" s="5">
        <v>8.6255118179167343E-4</v>
      </c>
      <c r="C7" s="3">
        <f t="shared" si="1"/>
        <v>0.70853082710409299</v>
      </c>
      <c r="D7" s="3">
        <f t="shared" si="0"/>
        <v>24.343424006093734</v>
      </c>
      <c r="E7" s="3">
        <f t="shared" si="2"/>
        <v>25.051954833197826</v>
      </c>
      <c r="F7" s="3">
        <v>3.6240032835263687</v>
      </c>
      <c r="G7" s="3">
        <f t="shared" si="3"/>
        <v>-2.6115318298991497E-6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</row>
    <row r="8" spans="1:18" x14ac:dyDescent="0.25">
      <c r="A8" s="1">
        <v>71</v>
      </c>
      <c r="B8" s="5">
        <v>6.4930268949290278E-5</v>
      </c>
      <c r="C8" s="3">
        <f t="shared" si="1"/>
        <v>0.45415580575179015</v>
      </c>
      <c r="D8" s="3">
        <f t="shared" si="0"/>
        <v>24.597799725583837</v>
      </c>
      <c r="E8" s="3">
        <f t="shared" si="2"/>
        <v>25.051955531335626</v>
      </c>
      <c r="F8" s="3">
        <v>5.5964985275318133</v>
      </c>
      <c r="G8" s="3">
        <f t="shared" si="3"/>
        <v>-1.9133940298843299E-6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</row>
    <row r="9" spans="1:18" x14ac:dyDescent="0.25">
      <c r="A9" s="1">
        <v>86</v>
      </c>
      <c r="B9" s="5">
        <v>6.9623015795325492E-6</v>
      </c>
      <c r="C9" s="3">
        <f t="shared" si="1"/>
        <v>0.30674656100557657</v>
      </c>
      <c r="D9" s="3">
        <f t="shared" si="0"/>
        <v>24.745209313959304</v>
      </c>
      <c r="E9" s="3">
        <f t="shared" si="2"/>
        <v>25.051955874964879</v>
      </c>
      <c r="F9" s="3">
        <v>8.1357403381006943</v>
      </c>
      <c r="G9" s="3">
        <f t="shared" si="3"/>
        <v>-1.5697647768320167E-6</v>
      </c>
      <c r="H9" s="4"/>
      <c r="I9" s="4"/>
      <c r="J9" s="4"/>
      <c r="K9" s="4"/>
      <c r="L9" s="4"/>
      <c r="M9" s="4"/>
      <c r="N9" s="4"/>
      <c r="O9" s="4"/>
      <c r="P9" s="4"/>
      <c r="Q9" s="4"/>
      <c r="R9" s="4"/>
    </row>
    <row r="10" spans="1:18" x14ac:dyDescent="0.25">
      <c r="A10" s="1">
        <v>100</v>
      </c>
      <c r="B10" s="5">
        <v>5.0800000000000005E-7</v>
      </c>
      <c r="C10" s="3">
        <f t="shared" si="1"/>
        <v>0.19230107699949395</v>
      </c>
      <c r="D10" s="3">
        <f t="shared" si="0"/>
        <v>24.858721315085539</v>
      </c>
      <c r="E10" s="3">
        <f t="shared" si="2"/>
        <v>25.051022392085034</v>
      </c>
      <c r="F10" s="3">
        <v>12.604950665265424</v>
      </c>
      <c r="G10" s="3">
        <f t="shared" si="3"/>
        <v>-9.3505264462123705E-4</v>
      </c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</row>
    <row r="11" spans="1:18" x14ac:dyDescent="0.25">
      <c r="A11" s="1">
        <v>120</v>
      </c>
      <c r="B11" s="5">
        <v>1.7999999999999999E-8</v>
      </c>
      <c r="C11" s="3">
        <f t="shared" si="1"/>
        <v>0.10527929373394715</v>
      </c>
      <c r="D11" s="3">
        <f t="shared" si="0"/>
        <v>24.945802523271354</v>
      </c>
      <c r="E11" s="3">
        <f t="shared" si="2"/>
        <v>25.051081817005301</v>
      </c>
      <c r="F11" s="3">
        <v>22.019760088472061</v>
      </c>
      <c r="G11" s="3">
        <f t="shared" si="3"/>
        <v>-8.7562772435489933E-4</v>
      </c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</row>
    <row r="12" spans="1:18" x14ac:dyDescent="0.25">
      <c r="A12" s="1">
        <v>140</v>
      </c>
      <c r="B12" s="5">
        <v>3.2599999999999999E-9</v>
      </c>
      <c r="C12" s="3">
        <f t="shared" si="1"/>
        <v>7.7211892533588108E-2</v>
      </c>
      <c r="D12" s="3">
        <f t="shared" si="0"/>
        <v>24.973888844104195</v>
      </c>
      <c r="E12" s="3">
        <f t="shared" si="2"/>
        <v>25.051100736637782</v>
      </c>
      <c r="F12" s="3">
        <v>29.285409320857774</v>
      </c>
      <c r="G12" s="3">
        <f t="shared" si="3"/>
        <v>-8.5670809187377017E-4</v>
      </c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</row>
    <row r="13" spans="1:18" x14ac:dyDescent="0.25">
      <c r="A13" s="1">
        <v>160</v>
      </c>
      <c r="B13" s="5">
        <v>1.1800000000000001E-9</v>
      </c>
      <c r="C13" s="3">
        <f t="shared" si="1"/>
        <v>6.4182248162654623E-2</v>
      </c>
      <c r="D13" s="3">
        <f t="shared" si="0"/>
        <v>24.986927229597732</v>
      </c>
      <c r="E13" s="3">
        <f t="shared" si="2"/>
        <v>25.051109477760388</v>
      </c>
      <c r="F13" s="3">
        <v>34.696270087481373</v>
      </c>
      <c r="G13" s="3">
        <f t="shared" si="3"/>
        <v>-8.4796696926758841E-4</v>
      </c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</row>
    <row r="14" spans="1:18" x14ac:dyDescent="0.25">
      <c r="A14" s="1">
        <v>180</v>
      </c>
      <c r="B14" s="5">
        <v>5.5099999999999996E-10</v>
      </c>
      <c r="C14" s="3">
        <f t="shared" si="1"/>
        <v>5.5871520600437881E-2</v>
      </c>
      <c r="D14" s="3">
        <f t="shared" si="0"/>
        <v>24.995243518534686</v>
      </c>
      <c r="E14" s="3">
        <f t="shared" si="2"/>
        <v>25.051115039135123</v>
      </c>
      <c r="F14" s="3">
        <v>39.396051637099653</v>
      </c>
      <c r="G14" s="3">
        <f t="shared" si="3"/>
        <v>-8.4240559453263586E-4</v>
      </c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</row>
    <row r="15" spans="1:18" x14ac:dyDescent="0.25">
      <c r="A15" s="1">
        <v>200</v>
      </c>
      <c r="B15" s="5">
        <v>2.9099999999999998E-10</v>
      </c>
      <c r="C15" s="3">
        <f t="shared" si="1"/>
        <v>4.9734986998352756E-2</v>
      </c>
      <c r="D15" s="3">
        <f t="shared" si="0"/>
        <v>25.001384151553193</v>
      </c>
      <c r="E15" s="3">
        <f t="shared" si="2"/>
        <v>25.051119138551545</v>
      </c>
      <c r="F15" s="3">
        <v>43.822588486693931</v>
      </c>
      <c r="G15" s="3">
        <f t="shared" si="3"/>
        <v>-8.3830617811031516E-4</v>
      </c>
    </row>
    <row r="16" spans="1:18" x14ac:dyDescent="0.25">
      <c r="A16" s="1"/>
      <c r="B16" s="2"/>
    </row>
    <row r="17" spans="1:2" x14ac:dyDescent="0.25">
      <c r="A17" s="1"/>
      <c r="B17" s="2"/>
    </row>
    <row r="18" spans="1:2" x14ac:dyDescent="0.25">
      <c r="A18" s="1"/>
      <c r="B18" s="2"/>
    </row>
    <row r="19" spans="1:2" x14ac:dyDescent="0.25">
      <c r="A19" s="1"/>
      <c r="B19" s="2"/>
    </row>
    <row r="20" spans="1:2" x14ac:dyDescent="0.25">
      <c r="A20" s="1"/>
      <c r="B20" s="2"/>
    </row>
    <row r="21" spans="1:2" x14ac:dyDescent="0.25">
      <c r="A21" s="1"/>
      <c r="B21" s="2"/>
    </row>
    <row r="22" spans="1:2" x14ac:dyDescent="0.25">
      <c r="A22" s="1"/>
      <c r="B22" s="2"/>
    </row>
    <row r="23" spans="1:2" x14ac:dyDescent="0.25">
      <c r="A23" s="1"/>
      <c r="B23" s="2"/>
    </row>
    <row r="24" spans="1:2" x14ac:dyDescent="0.25">
      <c r="A24" s="1"/>
      <c r="B24" s="2"/>
    </row>
    <row r="25" spans="1:2" x14ac:dyDescent="0.25">
      <c r="A25" s="1"/>
      <c r="B25" s="2"/>
    </row>
    <row r="26" spans="1:2" x14ac:dyDescent="0.25">
      <c r="A26" s="1"/>
      <c r="B26" s="2"/>
    </row>
    <row r="27" spans="1:2" x14ac:dyDescent="0.25">
      <c r="A27" s="1"/>
      <c r="B27" s="2"/>
    </row>
    <row r="28" spans="1:2" x14ac:dyDescent="0.25">
      <c r="A28" s="1"/>
      <c r="B28" s="2"/>
    </row>
    <row r="29" spans="1:2" x14ac:dyDescent="0.25">
      <c r="A29" s="1"/>
      <c r="B29" s="2"/>
    </row>
    <row r="30" spans="1:2" x14ac:dyDescent="0.25">
      <c r="A30" s="1"/>
      <c r="B30" s="2"/>
    </row>
    <row r="31" spans="1:2" x14ac:dyDescent="0.25">
      <c r="A31" s="1"/>
      <c r="B31" s="2"/>
    </row>
    <row r="32" spans="1:2" x14ac:dyDescent="0.25">
      <c r="A32" s="1"/>
      <c r="B32" s="2"/>
    </row>
    <row r="33" spans="1:2" x14ac:dyDescent="0.25">
      <c r="A33" s="1"/>
      <c r="B33" s="2"/>
    </row>
    <row r="34" spans="1:2" x14ac:dyDescent="0.25">
      <c r="A34" s="1"/>
      <c r="B34" s="2"/>
    </row>
    <row r="35" spans="1:2" x14ac:dyDescent="0.25">
      <c r="A35" s="1"/>
      <c r="B35" s="2"/>
    </row>
    <row r="36" spans="1:2" x14ac:dyDescent="0.25">
      <c r="A36" s="1"/>
      <c r="B36" s="2"/>
    </row>
    <row r="37" spans="1:2" x14ac:dyDescent="0.25">
      <c r="A37" s="1"/>
      <c r="B37" s="2"/>
    </row>
    <row r="38" spans="1:2" x14ac:dyDescent="0.25">
      <c r="A38" s="1"/>
      <c r="B38" s="2"/>
    </row>
    <row r="39" spans="1:2" x14ac:dyDescent="0.25">
      <c r="A39" s="1"/>
      <c r="B39" s="2"/>
    </row>
    <row r="40" spans="1:2" x14ac:dyDescent="0.25">
      <c r="A40" s="1"/>
      <c r="B40" s="2"/>
    </row>
    <row r="41" spans="1:2" x14ac:dyDescent="0.25">
      <c r="A41" s="1"/>
      <c r="B41" s="2"/>
    </row>
    <row r="42" spans="1:2" x14ac:dyDescent="0.25">
      <c r="A42" s="1"/>
      <c r="B42" s="2"/>
    </row>
    <row r="43" spans="1:2" x14ac:dyDescent="0.25">
      <c r="A43" s="1"/>
      <c r="B43" s="2"/>
    </row>
    <row r="44" spans="1:2" x14ac:dyDescent="0.25">
      <c r="A44" s="1"/>
      <c r="B44" s="2"/>
    </row>
    <row r="45" spans="1:2" x14ac:dyDescent="0.25">
      <c r="A45" s="1"/>
      <c r="B45" s="2"/>
    </row>
    <row r="46" spans="1:2" x14ac:dyDescent="0.25">
      <c r="A46" s="1"/>
      <c r="B46" s="2"/>
    </row>
    <row r="47" spans="1:2" x14ac:dyDescent="0.25">
      <c r="A47" s="1"/>
      <c r="B47" s="2"/>
    </row>
    <row r="48" spans="1:2" x14ac:dyDescent="0.25">
      <c r="A48" s="1"/>
      <c r="B48" s="2"/>
    </row>
    <row r="49" spans="1:2" x14ac:dyDescent="0.25">
      <c r="A49" s="1"/>
      <c r="B49" s="2"/>
    </row>
    <row r="50" spans="1:2" x14ac:dyDescent="0.25">
      <c r="A50" s="1"/>
      <c r="B50" s="2"/>
    </row>
    <row r="51" spans="1:2" x14ac:dyDescent="0.25">
      <c r="A51" s="1"/>
      <c r="B51" s="2"/>
    </row>
    <row r="52" spans="1:2" x14ac:dyDescent="0.25">
      <c r="A52" s="1"/>
      <c r="B52" s="2"/>
    </row>
    <row r="53" spans="1:2" x14ac:dyDescent="0.25">
      <c r="A53" s="1"/>
      <c r="B53" s="2"/>
    </row>
    <row r="54" spans="1:2" x14ac:dyDescent="0.25">
      <c r="A54" s="1"/>
      <c r="B54" s="2"/>
    </row>
    <row r="55" spans="1:2" x14ac:dyDescent="0.25">
      <c r="A55" s="1"/>
      <c r="B55" s="2"/>
    </row>
    <row r="56" spans="1:2" x14ac:dyDescent="0.25">
      <c r="A56" s="1"/>
      <c r="B56" s="2"/>
    </row>
    <row r="57" spans="1:2" x14ac:dyDescent="0.25">
      <c r="A57" s="1"/>
      <c r="B57" s="2"/>
    </row>
    <row r="58" spans="1:2" x14ac:dyDescent="0.25">
      <c r="A58" s="1"/>
      <c r="B58" s="2"/>
    </row>
    <row r="59" spans="1:2" x14ac:dyDescent="0.25">
      <c r="A59" s="1"/>
      <c r="B59" s="2"/>
    </row>
    <row r="60" spans="1:2" x14ac:dyDescent="0.25">
      <c r="A60" s="1"/>
      <c r="B60" s="2"/>
    </row>
    <row r="61" spans="1:2" x14ac:dyDescent="0.25">
      <c r="A61" s="1"/>
      <c r="B61" s="2"/>
    </row>
    <row r="62" spans="1:2" x14ac:dyDescent="0.25">
      <c r="A62" s="1"/>
      <c r="B62" s="2"/>
    </row>
    <row r="63" spans="1:2" x14ac:dyDescent="0.25">
      <c r="A63" s="1"/>
      <c r="B63" s="2"/>
    </row>
    <row r="64" spans="1:2" x14ac:dyDescent="0.25">
      <c r="A64" s="1"/>
      <c r="B64" s="2"/>
    </row>
    <row r="65" spans="1:2" x14ac:dyDescent="0.25">
      <c r="A65" s="1"/>
      <c r="B65" s="2"/>
    </row>
    <row r="66" spans="1:2" x14ac:dyDescent="0.25">
      <c r="A66" s="1"/>
      <c r="B66" s="2"/>
    </row>
    <row r="67" spans="1:2" x14ac:dyDescent="0.25">
      <c r="A67" s="1"/>
      <c r="B67" s="2"/>
    </row>
    <row r="68" spans="1:2" x14ac:dyDescent="0.25">
      <c r="A68" s="1"/>
      <c r="B68" s="2"/>
    </row>
    <row r="69" spans="1:2" x14ac:dyDescent="0.25">
      <c r="A69" s="1"/>
      <c r="B69" s="2"/>
    </row>
    <row r="70" spans="1:2" x14ac:dyDescent="0.25">
      <c r="A70" s="1"/>
      <c r="B70" s="2"/>
    </row>
    <row r="71" spans="1:2" x14ac:dyDescent="0.25">
      <c r="A71" s="1"/>
      <c r="B71" s="2"/>
    </row>
    <row r="72" spans="1:2" x14ac:dyDescent="0.25">
      <c r="A72" s="1"/>
      <c r="B72" s="2"/>
    </row>
    <row r="73" spans="1:2" x14ac:dyDescent="0.25">
      <c r="A73" s="1"/>
      <c r="B73" s="2"/>
    </row>
    <row r="74" spans="1:2" x14ac:dyDescent="0.25">
      <c r="A74" s="1"/>
      <c r="B74" s="2"/>
    </row>
    <row r="75" spans="1:2" x14ac:dyDescent="0.25">
      <c r="A75" s="1"/>
      <c r="B75" s="2"/>
    </row>
    <row r="76" spans="1:2" x14ac:dyDescent="0.25">
      <c r="A76" s="1"/>
      <c r="B76" s="2"/>
    </row>
    <row r="77" spans="1:2" x14ac:dyDescent="0.25">
      <c r="A77" s="1"/>
      <c r="B77" s="2"/>
    </row>
    <row r="78" spans="1:2" x14ac:dyDescent="0.25">
      <c r="A78" s="1"/>
      <c r="B78" s="2"/>
    </row>
    <row r="79" spans="1:2" x14ac:dyDescent="0.25">
      <c r="A79" s="1"/>
      <c r="B79" s="2"/>
    </row>
    <row r="80" spans="1:2" x14ac:dyDescent="0.25">
      <c r="A80" s="1"/>
      <c r="B80" s="2"/>
    </row>
    <row r="81" spans="1:2" x14ac:dyDescent="0.25">
      <c r="A81" s="1"/>
      <c r="B81" s="2"/>
    </row>
    <row r="82" spans="1:2" x14ac:dyDescent="0.25">
      <c r="A82" s="1"/>
      <c r="B82" s="2"/>
    </row>
    <row r="83" spans="1:2" x14ac:dyDescent="0.25">
      <c r="A83" s="1"/>
      <c r="B83" s="2"/>
    </row>
    <row r="84" spans="1:2" x14ac:dyDescent="0.25">
      <c r="A84" s="1"/>
      <c r="B84" s="2"/>
    </row>
    <row r="85" spans="1:2" x14ac:dyDescent="0.25">
      <c r="A85" s="1"/>
      <c r="B85" s="2"/>
    </row>
    <row r="86" spans="1:2" x14ac:dyDescent="0.25">
      <c r="A86" s="1"/>
      <c r="B86" s="2"/>
    </row>
    <row r="87" spans="1:2" x14ac:dyDescent="0.25">
      <c r="A87" s="1"/>
      <c r="B87" s="2"/>
    </row>
    <row r="88" spans="1:2" x14ac:dyDescent="0.25">
      <c r="A88" s="1"/>
      <c r="B88" s="2"/>
    </row>
    <row r="89" spans="1:2" x14ac:dyDescent="0.25">
      <c r="A89" s="1"/>
      <c r="B89" s="2"/>
    </row>
    <row r="90" spans="1:2" x14ac:dyDescent="0.25">
      <c r="A90" s="1"/>
      <c r="B90" s="2"/>
    </row>
    <row r="91" spans="1:2" x14ac:dyDescent="0.25">
      <c r="A91" s="1"/>
      <c r="B91" s="2"/>
    </row>
    <row r="92" spans="1:2" x14ac:dyDescent="0.25">
      <c r="A92" s="1"/>
      <c r="B92" s="2"/>
    </row>
    <row r="93" spans="1:2" x14ac:dyDescent="0.25">
      <c r="A93" s="1"/>
      <c r="B93" s="2"/>
    </row>
    <row r="94" spans="1:2" x14ac:dyDescent="0.25">
      <c r="A94" s="1"/>
      <c r="B94" s="2"/>
    </row>
    <row r="95" spans="1:2" x14ac:dyDescent="0.25">
      <c r="A95" s="1"/>
      <c r="B95" s="2"/>
    </row>
    <row r="96" spans="1:2" x14ac:dyDescent="0.25">
      <c r="A96" s="1"/>
      <c r="B96" s="2"/>
    </row>
    <row r="97" spans="1:2" x14ac:dyDescent="0.25">
      <c r="A97" s="1"/>
      <c r="B97" s="2"/>
    </row>
    <row r="98" spans="1:2" x14ac:dyDescent="0.25">
      <c r="A98" s="1"/>
      <c r="B98" s="2"/>
    </row>
    <row r="99" spans="1:2" x14ac:dyDescent="0.25">
      <c r="A99" s="1"/>
      <c r="B99" s="2"/>
    </row>
    <row r="100" spans="1:2" x14ac:dyDescent="0.25">
      <c r="A100" s="1"/>
      <c r="B100" s="2"/>
    </row>
    <row r="101" spans="1:2" x14ac:dyDescent="0.25">
      <c r="A101" s="1"/>
      <c r="B101" s="2"/>
    </row>
    <row r="102" spans="1:2" x14ac:dyDescent="0.25">
      <c r="A102" s="1"/>
      <c r="B102" s="2"/>
    </row>
    <row r="103" spans="1:2" x14ac:dyDescent="0.25">
      <c r="A103" s="1"/>
      <c r="B103" s="2"/>
    </row>
    <row r="104" spans="1:2" x14ac:dyDescent="0.25">
      <c r="A104" s="1"/>
      <c r="B104" s="2"/>
    </row>
    <row r="105" spans="1:2" x14ac:dyDescent="0.25">
      <c r="A105" s="1"/>
      <c r="B105" s="2"/>
    </row>
    <row r="106" spans="1:2" x14ac:dyDescent="0.25">
      <c r="A106" s="1"/>
      <c r="B106" s="2"/>
    </row>
    <row r="107" spans="1:2" x14ac:dyDescent="0.25">
      <c r="A107" s="1"/>
      <c r="B107" s="2"/>
    </row>
    <row r="108" spans="1:2" x14ac:dyDescent="0.25">
      <c r="A108" s="1"/>
      <c r="B108" s="2"/>
    </row>
    <row r="109" spans="1:2" x14ac:dyDescent="0.25">
      <c r="A109" s="1"/>
      <c r="B109" s="2"/>
    </row>
    <row r="110" spans="1:2" x14ac:dyDescent="0.25">
      <c r="A110" s="1"/>
      <c r="B110" s="2"/>
    </row>
    <row r="111" spans="1:2" x14ac:dyDescent="0.25">
      <c r="A111" s="1"/>
      <c r="B111" s="2"/>
    </row>
    <row r="112" spans="1:2" x14ac:dyDescent="0.25">
      <c r="A112" s="1"/>
      <c r="B112" s="2"/>
    </row>
    <row r="113" spans="1:2" x14ac:dyDescent="0.25">
      <c r="A113" s="1"/>
      <c r="B113" s="2"/>
    </row>
    <row r="114" spans="1:2" x14ac:dyDescent="0.25">
      <c r="A114" s="1"/>
      <c r="B114" s="2"/>
    </row>
    <row r="115" spans="1:2" x14ac:dyDescent="0.25">
      <c r="A115" s="1"/>
      <c r="B115" s="2"/>
    </row>
    <row r="116" spans="1:2" x14ac:dyDescent="0.25">
      <c r="A116" s="1"/>
      <c r="B116" s="2"/>
    </row>
    <row r="117" spans="1:2" x14ac:dyDescent="0.25">
      <c r="A117" s="1"/>
      <c r="B117" s="2"/>
    </row>
    <row r="118" spans="1:2" x14ac:dyDescent="0.25">
      <c r="A118" s="1"/>
      <c r="B118" s="2"/>
    </row>
    <row r="119" spans="1:2" x14ac:dyDescent="0.25">
      <c r="A119" s="1"/>
      <c r="B119" s="2"/>
    </row>
    <row r="120" spans="1:2" x14ac:dyDescent="0.25">
      <c r="A120" s="1"/>
      <c r="B120" s="2"/>
    </row>
    <row r="121" spans="1:2" x14ac:dyDescent="0.25">
      <c r="A121" s="1"/>
      <c r="B121" s="2"/>
    </row>
    <row r="122" spans="1:2" x14ac:dyDescent="0.25">
      <c r="A122" s="1"/>
      <c r="B122" s="2"/>
    </row>
    <row r="123" spans="1:2" x14ac:dyDescent="0.25">
      <c r="A123" s="1"/>
      <c r="B123" s="2"/>
    </row>
    <row r="124" spans="1:2" x14ac:dyDescent="0.25">
      <c r="A124" s="1"/>
      <c r="B124" s="2"/>
    </row>
    <row r="125" spans="1:2" x14ac:dyDescent="0.25">
      <c r="A125" s="1"/>
      <c r="B125" s="2"/>
    </row>
    <row r="126" spans="1:2" x14ac:dyDescent="0.25">
      <c r="A126" s="1"/>
      <c r="B126" s="2"/>
    </row>
    <row r="127" spans="1:2" x14ac:dyDescent="0.25">
      <c r="A127" s="1"/>
      <c r="B127" s="2"/>
    </row>
    <row r="128" spans="1:2" x14ac:dyDescent="0.25">
      <c r="A128" s="1"/>
      <c r="B128" s="2"/>
    </row>
    <row r="129" spans="1:2" x14ac:dyDescent="0.25">
      <c r="A129" s="1"/>
      <c r="B129" s="2"/>
    </row>
    <row r="130" spans="1:2" x14ac:dyDescent="0.25">
      <c r="A130" s="1"/>
      <c r="B130" s="2"/>
    </row>
    <row r="131" spans="1:2" x14ac:dyDescent="0.25">
      <c r="A131" s="1"/>
      <c r="B131" s="2"/>
    </row>
    <row r="132" spans="1:2" x14ac:dyDescent="0.25">
      <c r="A132" s="1"/>
      <c r="B132" s="2"/>
    </row>
    <row r="133" spans="1:2" x14ac:dyDescent="0.25">
      <c r="A133" s="1"/>
      <c r="B133" s="2"/>
    </row>
    <row r="134" spans="1:2" x14ac:dyDescent="0.25">
      <c r="A134" s="1"/>
      <c r="B134" s="2"/>
    </row>
    <row r="135" spans="1:2" x14ac:dyDescent="0.25">
      <c r="A135" s="1"/>
      <c r="B135" s="2"/>
    </row>
    <row r="136" spans="1:2" x14ac:dyDescent="0.25">
      <c r="A136" s="1"/>
      <c r="B136" s="2"/>
    </row>
    <row r="137" spans="1:2" x14ac:dyDescent="0.25">
      <c r="A137" s="1"/>
      <c r="B137" s="2"/>
    </row>
    <row r="138" spans="1:2" x14ac:dyDescent="0.25">
      <c r="A138" s="1"/>
      <c r="B138" s="2"/>
    </row>
    <row r="139" spans="1:2" x14ac:dyDescent="0.25">
      <c r="A139" s="1"/>
      <c r="B139" s="2"/>
    </row>
    <row r="140" spans="1:2" x14ac:dyDescent="0.25">
      <c r="A140" s="1"/>
      <c r="B140" s="2"/>
    </row>
    <row r="141" spans="1:2" x14ac:dyDescent="0.25">
      <c r="A141" s="1"/>
      <c r="B141" s="2"/>
    </row>
    <row r="142" spans="1:2" x14ac:dyDescent="0.25">
      <c r="A142" s="1"/>
      <c r="B142" s="2"/>
    </row>
    <row r="143" spans="1:2" x14ac:dyDescent="0.25">
      <c r="A143" s="1"/>
      <c r="B143" s="2"/>
    </row>
    <row r="144" spans="1:2" x14ac:dyDescent="0.25">
      <c r="A144" s="1"/>
      <c r="B144" s="2"/>
    </row>
    <row r="145" spans="1:2" x14ac:dyDescent="0.25">
      <c r="A145" s="1"/>
      <c r="B145" s="2"/>
    </row>
    <row r="146" spans="1:2" x14ac:dyDescent="0.25">
      <c r="A146" s="1"/>
      <c r="B146" s="2"/>
    </row>
    <row r="147" spans="1:2" x14ac:dyDescent="0.25">
      <c r="A147" s="1"/>
      <c r="B147" s="2"/>
    </row>
    <row r="148" spans="1:2" x14ac:dyDescent="0.25">
      <c r="A148" s="1"/>
      <c r="B148" s="2"/>
    </row>
    <row r="149" spans="1:2" x14ac:dyDescent="0.25">
      <c r="A149" s="1"/>
      <c r="B149" s="2"/>
    </row>
    <row r="150" spans="1:2" x14ac:dyDescent="0.25">
      <c r="A150" s="1"/>
      <c r="B150" s="2"/>
    </row>
    <row r="151" spans="1:2" x14ac:dyDescent="0.25">
      <c r="A151" s="1"/>
      <c r="B151" s="2"/>
    </row>
    <row r="152" spans="1:2" x14ac:dyDescent="0.25">
      <c r="A152" s="1"/>
      <c r="B152" s="2"/>
    </row>
    <row r="153" spans="1:2" x14ac:dyDescent="0.25">
      <c r="A153" s="1"/>
      <c r="B153" s="2"/>
    </row>
    <row r="154" spans="1:2" x14ac:dyDescent="0.25">
      <c r="A154" s="1"/>
      <c r="B154" s="2"/>
    </row>
    <row r="155" spans="1:2" x14ac:dyDescent="0.25">
      <c r="A155" s="1"/>
      <c r="B155" s="2"/>
    </row>
    <row r="156" spans="1:2" x14ac:dyDescent="0.25">
      <c r="A156" s="1"/>
      <c r="B156" s="2"/>
    </row>
    <row r="157" spans="1:2" x14ac:dyDescent="0.25">
      <c r="A157" s="1"/>
      <c r="B157" s="2"/>
    </row>
    <row r="158" spans="1:2" x14ac:dyDescent="0.25">
      <c r="A158" s="1"/>
      <c r="B158" s="2"/>
    </row>
    <row r="159" spans="1:2" x14ac:dyDescent="0.25">
      <c r="A159" s="1"/>
      <c r="B159" s="2"/>
    </row>
    <row r="160" spans="1:2" x14ac:dyDescent="0.25">
      <c r="A160" s="1"/>
      <c r="B160" s="2"/>
    </row>
    <row r="161" spans="1:2" x14ac:dyDescent="0.25">
      <c r="A161" s="1"/>
      <c r="B161" s="2"/>
    </row>
    <row r="162" spans="1:2" x14ac:dyDescent="0.25">
      <c r="A162" s="1"/>
      <c r="B162" s="2"/>
    </row>
    <row r="163" spans="1:2" x14ac:dyDescent="0.25">
      <c r="A163" s="1"/>
      <c r="B163" s="2"/>
    </row>
    <row r="164" spans="1:2" x14ac:dyDescent="0.25">
      <c r="A164" s="1"/>
      <c r="B164" s="2"/>
    </row>
    <row r="165" spans="1:2" x14ac:dyDescent="0.25">
      <c r="A165" s="1"/>
      <c r="B165" s="2"/>
    </row>
    <row r="166" spans="1:2" x14ac:dyDescent="0.25">
      <c r="A166" s="1"/>
      <c r="B166" s="2"/>
    </row>
    <row r="167" spans="1:2" x14ac:dyDescent="0.25">
      <c r="A167" s="1"/>
      <c r="B167" s="2"/>
    </row>
    <row r="168" spans="1:2" x14ac:dyDescent="0.25">
      <c r="A168" s="1"/>
      <c r="B168" s="2"/>
    </row>
    <row r="169" spans="1:2" x14ac:dyDescent="0.25">
      <c r="A169" s="1"/>
      <c r="B169" s="2"/>
    </row>
    <row r="170" spans="1:2" x14ac:dyDescent="0.25">
      <c r="A170" s="1"/>
      <c r="B170" s="2"/>
    </row>
    <row r="171" spans="1:2" x14ac:dyDescent="0.25">
      <c r="A171" s="1"/>
      <c r="B171" s="2"/>
    </row>
    <row r="172" spans="1:2" x14ac:dyDescent="0.25">
      <c r="A172" s="1"/>
      <c r="B172" s="2"/>
    </row>
    <row r="173" spans="1:2" x14ac:dyDescent="0.25">
      <c r="A173" s="1"/>
      <c r="B173" s="2"/>
    </row>
    <row r="174" spans="1:2" x14ac:dyDescent="0.25">
      <c r="A174" s="1"/>
      <c r="B174" s="2"/>
    </row>
    <row r="175" spans="1:2" x14ac:dyDescent="0.25">
      <c r="A175" s="1"/>
      <c r="B175" s="2"/>
    </row>
    <row r="176" spans="1:2" x14ac:dyDescent="0.25">
      <c r="A176" s="1"/>
      <c r="B176" s="2"/>
    </row>
    <row r="177" spans="1:2" x14ac:dyDescent="0.25">
      <c r="A177" s="1"/>
      <c r="B177" s="2"/>
    </row>
    <row r="178" spans="1:2" x14ac:dyDescent="0.25">
      <c r="A178" s="1"/>
      <c r="B178" s="2"/>
    </row>
    <row r="179" spans="1:2" x14ac:dyDescent="0.25">
      <c r="A179" s="1"/>
      <c r="B179" s="2"/>
    </row>
    <row r="180" spans="1:2" x14ac:dyDescent="0.25">
      <c r="A180" s="1"/>
      <c r="B180" s="2"/>
    </row>
    <row r="181" spans="1:2" x14ac:dyDescent="0.25">
      <c r="A181" s="1"/>
      <c r="B181" s="2"/>
    </row>
    <row r="182" spans="1:2" x14ac:dyDescent="0.25">
      <c r="A182" s="1"/>
      <c r="B182" s="2"/>
    </row>
    <row r="183" spans="1:2" x14ac:dyDescent="0.25">
      <c r="A183" s="1"/>
      <c r="B183" s="2"/>
    </row>
    <row r="184" spans="1:2" x14ac:dyDescent="0.25">
      <c r="A184" s="1"/>
      <c r="B184" s="2"/>
    </row>
    <row r="185" spans="1:2" x14ac:dyDescent="0.25">
      <c r="A185" s="1"/>
      <c r="B185" s="2"/>
    </row>
    <row r="186" spans="1:2" x14ac:dyDescent="0.25">
      <c r="A186" s="1"/>
      <c r="B186" s="2"/>
    </row>
    <row r="187" spans="1:2" x14ac:dyDescent="0.25">
      <c r="A187" s="1"/>
      <c r="B187" s="2"/>
    </row>
    <row r="188" spans="1:2" x14ac:dyDescent="0.25">
      <c r="A188" s="1"/>
      <c r="B188" s="2"/>
    </row>
    <row r="189" spans="1:2" x14ac:dyDescent="0.25">
      <c r="A189" s="1"/>
      <c r="B189" s="2"/>
    </row>
    <row r="190" spans="1:2" x14ac:dyDescent="0.25">
      <c r="A190" s="1"/>
      <c r="B190" s="2"/>
    </row>
    <row r="191" spans="1:2" x14ac:dyDescent="0.25">
      <c r="A191" s="1"/>
      <c r="B191" s="2"/>
    </row>
    <row r="192" spans="1:2" x14ac:dyDescent="0.25">
      <c r="A192" s="1"/>
      <c r="B192" s="2"/>
    </row>
    <row r="193" spans="1:2" x14ac:dyDescent="0.25">
      <c r="A193" s="1"/>
      <c r="B193" s="2"/>
    </row>
    <row r="194" spans="1:2" x14ac:dyDescent="0.25">
      <c r="A194" s="1"/>
      <c r="B194" s="2"/>
    </row>
    <row r="195" spans="1:2" x14ac:dyDescent="0.25">
      <c r="A195" s="1"/>
      <c r="B195" s="2"/>
    </row>
    <row r="196" spans="1:2" x14ac:dyDescent="0.25">
      <c r="A196" s="1"/>
      <c r="B196" s="2"/>
    </row>
    <row r="197" spans="1:2" x14ac:dyDescent="0.25">
      <c r="A197" s="1"/>
      <c r="B197" s="2"/>
    </row>
    <row r="198" spans="1:2" x14ac:dyDescent="0.25">
      <c r="A198" s="1"/>
      <c r="B198" s="2"/>
    </row>
    <row r="199" spans="1:2" x14ac:dyDescent="0.25">
      <c r="A199" s="1"/>
      <c r="B199" s="2"/>
    </row>
    <row r="200" spans="1:2" x14ac:dyDescent="0.25">
      <c r="A200" s="1"/>
      <c r="B200" s="2"/>
    </row>
    <row r="201" spans="1:2" x14ac:dyDescent="0.25">
      <c r="A201" s="1"/>
      <c r="B201" s="2"/>
    </row>
    <row r="202" spans="1:2" x14ac:dyDescent="0.25">
      <c r="A202" s="1"/>
      <c r="B202" s="2"/>
    </row>
    <row r="203" spans="1:2" x14ac:dyDescent="0.25">
      <c r="A203" s="1"/>
    </row>
    <row r="204" spans="1:2" x14ac:dyDescent="0.25">
      <c r="A204" s="1"/>
    </row>
    <row r="205" spans="1:2" x14ac:dyDescent="0.25">
      <c r="A205" s="1"/>
    </row>
    <row r="206" spans="1:2" x14ac:dyDescent="0.25">
      <c r="A206" s="1"/>
    </row>
    <row r="207" spans="1:2" x14ac:dyDescent="0.25">
      <c r="A207" s="1"/>
    </row>
    <row r="208" spans="1:2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</sheetData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Sheet2</vt:lpstr>
      <vt:lpstr>Sheet2!table2</vt:lpstr>
    </vt:vector>
  </TitlesOfParts>
  <Company>Belden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Brendan RJ. Luke</dc:creator>
  <cp:lastModifiedBy>Brendan RJ. Luke</cp:lastModifiedBy>
  <dcterms:created xsi:type="dcterms:W3CDTF">2021-04-23T14:41:47Z</dcterms:created>
  <dcterms:modified xsi:type="dcterms:W3CDTF">2022-02-16T16:11:16Z</dcterms:modified>
</cp:coreProperties>
</file>