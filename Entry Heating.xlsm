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t-brl01021\Documents\Brendan Luke-Round 2\"/>
    </mc:Choice>
  </mc:AlternateContent>
  <bookViews>
    <workbookView xWindow="0" yWindow="0" windowWidth="24000" windowHeight="14235"/>
  </bookViews>
  <sheets>
    <sheet name="Sheet2" sheetId="1" r:id="rId1"/>
  </sheets>
  <definedNames>
    <definedName name="h">#REF!</definedName>
    <definedName name="help">#REF!</definedName>
    <definedName name="help2">#REF!</definedName>
    <definedName name="P">#REF!</definedName>
    <definedName name="Rho">#REF!</definedName>
    <definedName name="table2" localSheetId="0">Sheet2!$F$2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2" i="1"/>
  <c r="D15" i="1" l="1"/>
  <c r="D14" i="1"/>
  <c r="D13" i="1"/>
  <c r="D12" i="1"/>
  <c r="D11" i="1"/>
  <c r="D10" i="1"/>
  <c r="D6" i="1"/>
  <c r="D4" i="1"/>
  <c r="L1" i="1"/>
  <c r="Q1" i="1" s="1"/>
  <c r="E10" i="1" l="1"/>
  <c r="E12" i="1"/>
  <c r="E14" i="1"/>
  <c r="E11" i="1"/>
  <c r="G11" i="1" s="1"/>
  <c r="E13" i="1"/>
  <c r="E15" i="1"/>
  <c r="D5" i="1"/>
  <c r="D3" i="1"/>
  <c r="D9" i="1"/>
  <c r="D7" i="1"/>
  <c r="N1" i="1"/>
  <c r="E4" i="1"/>
  <c r="G4" i="1" s="1"/>
  <c r="D2" i="1"/>
  <c r="E2" i="1" s="1"/>
  <c r="G2" i="1" s="1"/>
  <c r="D8" i="1"/>
  <c r="E8" i="1" s="1"/>
  <c r="E6" i="1"/>
  <c r="G6" i="1" s="1"/>
  <c r="E5" i="1" l="1"/>
  <c r="G5" i="1" s="1"/>
  <c r="G12" i="1"/>
  <c r="G10" i="1"/>
  <c r="E7" i="1"/>
  <c r="G7" i="1" s="1"/>
  <c r="E3" i="1"/>
  <c r="G3" i="1" s="1"/>
  <c r="G15" i="1"/>
  <c r="E9" i="1"/>
  <c r="G9" i="1" s="1"/>
  <c r="G14" i="1"/>
  <c r="G8" i="1"/>
  <c r="G13" i="1"/>
</calcChain>
</file>

<file path=xl/sharedStrings.xml><?xml version="1.0" encoding="utf-8"?>
<sst xmlns="http://schemas.openxmlformats.org/spreadsheetml/2006/main" count="13" uniqueCount="13">
  <si>
    <t>h (km)</t>
  </si>
  <si>
    <t>rho (kg/m^3)</t>
  </si>
  <si>
    <t>qR (W/cm^2)</t>
  </si>
  <si>
    <t>qConv (W/cm^2)</t>
  </si>
  <si>
    <t>qTot (W/cm^2)</t>
  </si>
  <si>
    <t>Velocity (km/s)</t>
  </si>
  <si>
    <t>Delta</t>
  </si>
  <si>
    <t>Rn (m):</t>
  </si>
  <si>
    <t>Temp (K):</t>
  </si>
  <si>
    <t>W/cm^2</t>
  </si>
  <si>
    <t>=2.195*10^-22*(F15*1000)^7.9*B15^1.2*$I$1^0.49/100/100</t>
  </si>
  <si>
    <t>=$I$1*B2^1.6*F2^8.5</t>
  </si>
  <si>
    <t>=8.497*10^-63*(F14*1000)^18*B14^1.2*$I$1^0.49/100/100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</si>
</sst>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NumberFormat="1"/>
    <xf numFmtId="11" fontId="0" fillId="0" borderId="0" xfId="0" applyNumberFormat="1" applyAlignment="1">
      <alignment horizontal="center"/>
    </xf>
    <xf numFmtId="0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Sheet2!$Q$1</c:f>
          <c:strCache>
            <c:ptCount val="1"/>
            <c:pt idx="0">
              <c:v>Max Velocity for 1923 K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Velocity for 2000 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Sheet2!$F$2:$F$15</c:f>
              <c:numCache>
                <c:formatCode>0.0</c:formatCode>
                <c:ptCount val="14"/>
                <c:pt idx="0">
                  <c:v>1.4018115082078788</c:v>
                </c:pt>
                <c:pt idx="1">
                  <c:v>1.7409215832426239</c:v>
                </c:pt>
                <c:pt idx="2">
                  <c:v>2.2400933245415096</c:v>
                </c:pt>
                <c:pt idx="3">
                  <c:v>3.1303057723713428</c:v>
                </c:pt>
                <c:pt idx="4">
                  <c:v>4.62153372768441</c:v>
                </c:pt>
                <c:pt idx="5">
                  <c:v>5.0461679570863955</c:v>
                </c:pt>
                <c:pt idx="6">
                  <c:v>7.8955212107172041</c:v>
                </c:pt>
                <c:pt idx="7">
                  <c:v>11.580662052529778</c:v>
                </c:pt>
                <c:pt idx="8">
                  <c:v>18.083582420914762</c:v>
                </c:pt>
                <c:pt idx="9">
                  <c:v>31.800899741526305</c:v>
                </c:pt>
                <c:pt idx="10">
                  <c:v>42.391008993101444</c:v>
                </c:pt>
                <c:pt idx="11">
                  <c:v>50.278125592467106</c:v>
                </c:pt>
                <c:pt idx="12">
                  <c:v>57.128940389047969</c:v>
                </c:pt>
                <c:pt idx="13">
                  <c:v>63.581458645719067</c:v>
                </c:pt>
              </c:numCache>
            </c:numRef>
          </c:xVal>
          <c:yVal>
            <c:numRef>
              <c:f>Sheet2!$A$2:$A$15</c:f>
              <c:numCache>
                <c:formatCode>General</c:formatCode>
                <c:ptCount val="14"/>
                <c:pt idx="0">
                  <c:v>0</c:v>
                </c:pt>
                <c:pt idx="1">
                  <c:v>11</c:v>
                </c:pt>
                <c:pt idx="2">
                  <c:v>20</c:v>
                </c:pt>
                <c:pt idx="3">
                  <c:v>32</c:v>
                </c:pt>
                <c:pt idx="4">
                  <c:v>47</c:v>
                </c:pt>
                <c:pt idx="5">
                  <c:v>51</c:v>
                </c:pt>
                <c:pt idx="6">
                  <c:v>71</c:v>
                </c:pt>
                <c:pt idx="7">
                  <c:v>86</c:v>
                </c:pt>
                <c:pt idx="8">
                  <c:v>100</c:v>
                </c:pt>
                <c:pt idx="9">
                  <c:v>120</c:v>
                </c:pt>
                <c:pt idx="10">
                  <c:v>140</c:v>
                </c:pt>
                <c:pt idx="11">
                  <c:v>160</c:v>
                </c:pt>
                <c:pt idx="12">
                  <c:v>180</c:v>
                </c:pt>
                <c:pt idx="13">
                  <c:v>200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149784"/>
        <c:axId val="358150176"/>
      </c:scatterChart>
      <c:valAx>
        <c:axId val="358149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Speed (km/s)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0176"/>
        <c:crosses val="autoZero"/>
        <c:crossBetween val="midCat"/>
      </c:valAx>
      <c:valAx>
        <c:axId val="3581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Altitude (km)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49784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4</xdr:row>
      <xdr:rowOff>119062</xdr:rowOff>
    </xdr:from>
    <xdr:to>
      <xdr:col>17</xdr:col>
      <xdr:colOff>19050</xdr:colOff>
      <xdr:row>23</xdr:row>
      <xdr:rowOff>157162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561"/>
  <sheetViews>
    <sheetView tabSelected="1"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2" max="3" width="12.42578125" bestFit="1" customWidth="1"/>
    <col min="4" max="4" width="15.85546875" bestFit="1" customWidth="1"/>
    <col min="5" max="5" width="14.28515625" bestFit="1" customWidth="1"/>
    <col min="6" max="6" width="13.7109375" bestFit="1" customWidth="1"/>
    <col min="7" max="7" width="9.140625" customWidth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>
        <v>1</v>
      </c>
      <c r="K1" t="s">
        <v>8</v>
      </c>
      <c r="L1" s="1">
        <f>1650+273</f>
        <v>1923</v>
      </c>
      <c r="N1">
        <f>L1^4*5.67*10^-8/100/100</f>
        <v>77.535429300862475</v>
      </c>
      <c r="O1" t="s">
        <v>9</v>
      </c>
      <c r="Q1" t="str">
        <f>CONCATENATE("Max Velocity for ",L1," K")</f>
        <v>Max Velocity for 1923 K</v>
      </c>
    </row>
    <row r="2" spans="1:18" x14ac:dyDescent="0.25">
      <c r="A2" s="1">
        <v>0</v>
      </c>
      <c r="B2" s="5">
        <v>1.2252256827617729</v>
      </c>
      <c r="C2" s="3">
        <f>$I$1*B2^1.6*F2^8.5</f>
        <v>24.434728927333158</v>
      </c>
      <c r="D2" s="3">
        <f t="shared" ref="D2:D15" si="0">1.7415*10^-4*(B2/$I$1)^0.5*(F2*1000)^3/100/100</f>
        <v>53.100717302383536</v>
      </c>
      <c r="E2" s="3">
        <f>D2+C2</f>
        <v>77.535446229716698</v>
      </c>
      <c r="F2" s="3">
        <v>1.4018115082078788</v>
      </c>
      <c r="G2" s="3">
        <f>E2-$N$1</f>
        <v>1.6928854222442169E-5</v>
      </c>
      <c r="H2" s="4"/>
      <c r="I2" s="4"/>
      <c r="J2" s="6" t="s">
        <v>10</v>
      </c>
      <c r="K2" s="4"/>
      <c r="L2" s="4"/>
      <c r="M2" s="4"/>
      <c r="N2" s="4"/>
      <c r="O2" s="4"/>
      <c r="P2" s="4"/>
      <c r="Q2" s="4"/>
      <c r="R2" s="4"/>
    </row>
    <row r="3" spans="1:18" x14ac:dyDescent="0.25">
      <c r="A3" s="1">
        <v>11</v>
      </c>
      <c r="B3" s="5">
        <v>0.36398404272856161</v>
      </c>
      <c r="C3" s="3">
        <f t="shared" ref="C3:C15" si="1">$I$1*B3^1.6*F3^8.5</f>
        <v>22.098104954434994</v>
      </c>
      <c r="D3" s="3">
        <f t="shared" si="0"/>
        <v>55.437326698906311</v>
      </c>
      <c r="E3" s="3">
        <f t="shared" ref="E3:E15" si="2">D3+C3</f>
        <v>77.535431653341305</v>
      </c>
      <c r="F3" s="3">
        <v>1.7409215832426239</v>
      </c>
      <c r="G3" s="3">
        <f t="shared" ref="G3:G15" si="3">E3-$N$1</f>
        <v>2.3524788304030153E-6</v>
      </c>
      <c r="H3" s="4"/>
      <c r="I3" s="4"/>
      <c r="J3" s="6" t="s">
        <v>11</v>
      </c>
      <c r="K3" s="4"/>
      <c r="L3" s="4"/>
      <c r="M3" s="4"/>
      <c r="N3" s="4"/>
      <c r="O3" s="4"/>
      <c r="P3" s="4"/>
      <c r="Q3" s="4"/>
      <c r="R3" s="4"/>
    </row>
    <row r="4" spans="1:18" x14ac:dyDescent="0.25">
      <c r="A4" s="1">
        <v>20</v>
      </c>
      <c r="B4" s="5">
        <v>8.8052873539186755E-2</v>
      </c>
      <c r="C4" s="3">
        <f t="shared" si="1"/>
        <v>19.446954775216582</v>
      </c>
      <c r="D4" s="3">
        <f t="shared" si="0"/>
        <v>58.088957317418156</v>
      </c>
      <c r="E4" s="3">
        <f t="shared" si="2"/>
        <v>77.535912092634732</v>
      </c>
      <c r="F4" s="3">
        <v>2.2400933245415096</v>
      </c>
      <c r="G4" s="3">
        <f t="shared" si="3"/>
        <v>4.8279177225651893E-4</v>
      </c>
      <c r="H4" s="4"/>
      <c r="I4" s="4"/>
      <c r="J4" s="6" t="s">
        <v>12</v>
      </c>
      <c r="K4" s="4"/>
      <c r="L4" s="4"/>
      <c r="M4" s="4"/>
      <c r="N4" s="4"/>
      <c r="O4" s="4"/>
      <c r="P4" s="4"/>
      <c r="Q4" s="4"/>
      <c r="R4" s="4"/>
    </row>
    <row r="5" spans="1:18" x14ac:dyDescent="0.25">
      <c r="A5" s="1">
        <v>32</v>
      </c>
      <c r="B5" s="5">
        <v>1.3227160480657946E-2</v>
      </c>
      <c r="C5" s="3">
        <f t="shared" si="1"/>
        <v>16.100303914099342</v>
      </c>
      <c r="D5" s="3">
        <f t="shared" si="0"/>
        <v>61.435171698717625</v>
      </c>
      <c r="E5" s="3">
        <f t="shared" si="2"/>
        <v>77.535475612816967</v>
      </c>
      <c r="F5" s="3">
        <v>3.1303057723713428</v>
      </c>
      <c r="G5" s="3">
        <f t="shared" si="3"/>
        <v>4.6311954491784491E-5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</row>
    <row r="6" spans="1:18" x14ac:dyDescent="0.25">
      <c r="A6" s="1">
        <v>47</v>
      </c>
      <c r="B6" s="5">
        <v>1.4290027041623245E-3</v>
      </c>
      <c r="C6" s="3">
        <f t="shared" si="1"/>
        <v>12.552636686722268</v>
      </c>
      <c r="D6" s="3">
        <f t="shared" si="0"/>
        <v>64.982794642309059</v>
      </c>
      <c r="E6" s="3">
        <f t="shared" si="2"/>
        <v>77.535431329031326</v>
      </c>
      <c r="F6" s="3">
        <v>4.62153372768441</v>
      </c>
      <c r="G6" s="3">
        <f t="shared" si="3"/>
        <v>2.0281688506429418E-6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18" x14ac:dyDescent="0.25">
      <c r="A7" s="1">
        <v>51</v>
      </c>
      <c r="B7" s="5">
        <v>8.6255118179167343E-4</v>
      </c>
      <c r="C7" s="3">
        <f t="shared" si="1"/>
        <v>11.814905767233528</v>
      </c>
      <c r="D7" s="3">
        <f t="shared" si="0"/>
        <v>65.720524475186835</v>
      </c>
      <c r="E7" s="3">
        <f t="shared" si="2"/>
        <v>77.535430242420361</v>
      </c>
      <c r="F7" s="3">
        <v>5.0461679570863955</v>
      </c>
      <c r="G7" s="3">
        <f t="shared" si="3"/>
        <v>9.415578858806839E-7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</row>
    <row r="8" spans="1:18" x14ac:dyDescent="0.25">
      <c r="A8" s="1">
        <v>71</v>
      </c>
      <c r="B8" s="5">
        <v>6.4930268949290278E-5</v>
      </c>
      <c r="C8" s="3">
        <f t="shared" si="1"/>
        <v>8.4654950816331453</v>
      </c>
      <c r="D8" s="3">
        <f t="shared" si="0"/>
        <v>69.070005948188637</v>
      </c>
      <c r="E8" s="3">
        <f t="shared" si="2"/>
        <v>77.535501029821788</v>
      </c>
      <c r="F8" s="3">
        <v>7.8955212107172041</v>
      </c>
      <c r="G8" s="3">
        <f t="shared" si="3"/>
        <v>7.1728959312622464E-5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</row>
    <row r="9" spans="1:18" x14ac:dyDescent="0.25">
      <c r="A9" s="1">
        <v>86</v>
      </c>
      <c r="B9" s="5">
        <v>6.9623015795325492E-6</v>
      </c>
      <c r="C9" s="3">
        <f t="shared" si="1"/>
        <v>6.1679142847306254</v>
      </c>
      <c r="D9" s="3">
        <f t="shared" si="0"/>
        <v>71.367430211119228</v>
      </c>
      <c r="E9" s="3">
        <f t="shared" si="2"/>
        <v>77.535344495849856</v>
      </c>
      <c r="F9" s="3">
        <v>11.580662052529778</v>
      </c>
      <c r="G9" s="3">
        <f t="shared" si="3"/>
        <v>-8.4805012619426634E-5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18" x14ac:dyDescent="0.25">
      <c r="A10" s="1">
        <v>100</v>
      </c>
      <c r="B10" s="5">
        <v>5.0800000000000005E-7</v>
      </c>
      <c r="C10" s="3">
        <f t="shared" si="1"/>
        <v>4.1333286081090819</v>
      </c>
      <c r="D10" s="3">
        <f t="shared" si="0"/>
        <v>73.402143881752096</v>
      </c>
      <c r="E10" s="3">
        <f t="shared" si="2"/>
        <v>77.535472489861178</v>
      </c>
      <c r="F10" s="3">
        <v>18.083582420914762</v>
      </c>
      <c r="G10" s="3">
        <f t="shared" si="3"/>
        <v>4.3188998702703429E-5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18" x14ac:dyDescent="0.25">
      <c r="A11" s="1">
        <v>120</v>
      </c>
      <c r="B11" s="5">
        <v>1.7999999999999999E-8</v>
      </c>
      <c r="C11" s="3">
        <f t="shared" si="1"/>
        <v>2.3942581424481268</v>
      </c>
      <c r="D11" s="3">
        <f t="shared" si="0"/>
        <v>75.141170207965629</v>
      </c>
      <c r="E11" s="3">
        <f t="shared" si="2"/>
        <v>77.535428350413753</v>
      </c>
      <c r="F11" s="3">
        <v>31.800899741526305</v>
      </c>
      <c r="G11" s="3">
        <f t="shared" si="3"/>
        <v>-9.5044872239213873E-7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1:18" x14ac:dyDescent="0.25">
      <c r="A12" s="1">
        <v>140</v>
      </c>
      <c r="B12" s="5">
        <v>3.2599999999999999E-9</v>
      </c>
      <c r="C12" s="3">
        <f t="shared" si="1"/>
        <v>1.7905030590788569</v>
      </c>
      <c r="D12" s="3">
        <f t="shared" si="0"/>
        <v>75.744925052661429</v>
      </c>
      <c r="E12" s="3">
        <f t="shared" si="2"/>
        <v>77.535428111740288</v>
      </c>
      <c r="F12" s="3">
        <v>42.391008993101444</v>
      </c>
      <c r="G12" s="3">
        <f t="shared" si="3"/>
        <v>-1.1891221873838731E-6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18" x14ac:dyDescent="0.25">
      <c r="A13" s="1">
        <v>160</v>
      </c>
      <c r="B13" s="5">
        <v>1.1800000000000001E-9</v>
      </c>
      <c r="C13" s="3">
        <f t="shared" si="1"/>
        <v>1.5022194432943214</v>
      </c>
      <c r="D13" s="3">
        <f t="shared" si="0"/>
        <v>76.032928448128374</v>
      </c>
      <c r="E13" s="3">
        <f t="shared" si="2"/>
        <v>77.535147891422696</v>
      </c>
      <c r="F13" s="3">
        <v>50.278125592467106</v>
      </c>
      <c r="G13" s="3">
        <f t="shared" si="3"/>
        <v>-2.8140943977916777E-4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</row>
    <row r="14" spans="1:18" x14ac:dyDescent="0.25">
      <c r="A14" s="1">
        <v>180</v>
      </c>
      <c r="B14" s="5">
        <v>5.5099999999999996E-10</v>
      </c>
      <c r="C14" s="3">
        <f t="shared" si="1"/>
        <v>1.3155882754545027</v>
      </c>
      <c r="D14" s="3">
        <f t="shared" si="0"/>
        <v>76.219796537313968</v>
      </c>
      <c r="E14" s="3">
        <f t="shared" si="2"/>
        <v>77.53538481276847</v>
      </c>
      <c r="F14" s="3">
        <v>57.128940389047969</v>
      </c>
      <c r="G14" s="3">
        <f t="shared" si="3"/>
        <v>-4.4488094005146195E-5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</row>
    <row r="15" spans="1:18" x14ac:dyDescent="0.25">
      <c r="A15" s="1">
        <v>200</v>
      </c>
      <c r="B15" s="5">
        <v>2.9099999999999998E-10</v>
      </c>
      <c r="C15" s="3">
        <f t="shared" si="1"/>
        <v>1.1763536975353657</v>
      </c>
      <c r="D15" s="3">
        <f t="shared" si="0"/>
        <v>76.359211352420303</v>
      </c>
      <c r="E15" s="3">
        <f t="shared" si="2"/>
        <v>77.535565049955665</v>
      </c>
      <c r="F15" s="3">
        <v>63.581458645719067</v>
      </c>
      <c r="G15" s="3">
        <f t="shared" si="3"/>
        <v>1.3574909318947448E-4</v>
      </c>
    </row>
    <row r="16" spans="1:18" x14ac:dyDescent="0.25">
      <c r="A16" s="1"/>
      <c r="B16" s="2"/>
    </row>
    <row r="17" spans="1:2" x14ac:dyDescent="0.25">
      <c r="A17" s="1"/>
      <c r="B17" s="2"/>
    </row>
    <row r="18" spans="1:2" x14ac:dyDescent="0.25">
      <c r="A18" s="1"/>
      <c r="B18" s="2"/>
    </row>
    <row r="19" spans="1:2" x14ac:dyDescent="0.25">
      <c r="A19" s="1"/>
      <c r="B19" s="2"/>
    </row>
    <row r="20" spans="1:2" x14ac:dyDescent="0.25">
      <c r="A20" s="1"/>
      <c r="B20" s="2"/>
    </row>
    <row r="21" spans="1:2" x14ac:dyDescent="0.25">
      <c r="A21" s="1"/>
      <c r="B21" s="2"/>
    </row>
    <row r="22" spans="1:2" x14ac:dyDescent="0.25">
      <c r="A22" s="1"/>
      <c r="B22" s="2"/>
    </row>
    <row r="23" spans="1:2" x14ac:dyDescent="0.25">
      <c r="A23" s="1"/>
      <c r="B23" s="2"/>
    </row>
    <row r="24" spans="1:2" x14ac:dyDescent="0.25">
      <c r="A24" s="1"/>
      <c r="B24" s="2"/>
    </row>
    <row r="25" spans="1:2" x14ac:dyDescent="0.25">
      <c r="A25" s="1"/>
      <c r="B25" s="2"/>
    </row>
    <row r="26" spans="1:2" x14ac:dyDescent="0.25">
      <c r="A26" s="1"/>
      <c r="B26" s="2"/>
    </row>
    <row r="27" spans="1:2" x14ac:dyDescent="0.25">
      <c r="A27" s="1"/>
      <c r="B27" s="2"/>
    </row>
    <row r="28" spans="1:2" x14ac:dyDescent="0.25">
      <c r="A28" s="1"/>
      <c r="B28" s="2"/>
    </row>
    <row r="29" spans="1:2" x14ac:dyDescent="0.25">
      <c r="A29" s="1"/>
      <c r="B29" s="2"/>
    </row>
    <row r="30" spans="1:2" x14ac:dyDescent="0.25">
      <c r="A30" s="1"/>
      <c r="B30" s="2"/>
    </row>
    <row r="31" spans="1:2" x14ac:dyDescent="0.25">
      <c r="A31" s="1"/>
      <c r="B31" s="2"/>
    </row>
    <row r="32" spans="1:2" x14ac:dyDescent="0.25">
      <c r="A32" s="1"/>
      <c r="B32" s="2"/>
    </row>
    <row r="33" spans="1:2" x14ac:dyDescent="0.25">
      <c r="A33" s="1"/>
      <c r="B33" s="2"/>
    </row>
    <row r="34" spans="1:2" x14ac:dyDescent="0.25">
      <c r="A34" s="1"/>
      <c r="B34" s="2"/>
    </row>
    <row r="35" spans="1:2" x14ac:dyDescent="0.25">
      <c r="A35" s="1"/>
      <c r="B35" s="2"/>
    </row>
    <row r="36" spans="1:2" x14ac:dyDescent="0.25">
      <c r="A36" s="1"/>
      <c r="B36" s="2"/>
    </row>
    <row r="37" spans="1:2" x14ac:dyDescent="0.25">
      <c r="A37" s="1"/>
      <c r="B37" s="2"/>
    </row>
    <row r="38" spans="1:2" x14ac:dyDescent="0.25">
      <c r="A38" s="1"/>
      <c r="B38" s="2"/>
    </row>
    <row r="39" spans="1:2" x14ac:dyDescent="0.25">
      <c r="A39" s="1"/>
      <c r="B39" s="2"/>
    </row>
    <row r="40" spans="1:2" x14ac:dyDescent="0.25">
      <c r="A40" s="1"/>
      <c r="B40" s="2"/>
    </row>
    <row r="41" spans="1:2" x14ac:dyDescent="0.25">
      <c r="A41" s="1"/>
      <c r="B41" s="2"/>
    </row>
    <row r="42" spans="1:2" x14ac:dyDescent="0.25">
      <c r="A42" s="1"/>
      <c r="B42" s="2"/>
    </row>
    <row r="43" spans="1:2" x14ac:dyDescent="0.25">
      <c r="A43" s="1"/>
      <c r="B43" s="2"/>
    </row>
    <row r="44" spans="1:2" x14ac:dyDescent="0.25">
      <c r="A44" s="1"/>
      <c r="B44" s="2"/>
    </row>
    <row r="45" spans="1:2" x14ac:dyDescent="0.25">
      <c r="A45" s="1"/>
      <c r="B45" s="2"/>
    </row>
    <row r="46" spans="1:2" x14ac:dyDescent="0.25">
      <c r="A46" s="1"/>
      <c r="B46" s="2"/>
    </row>
    <row r="47" spans="1:2" x14ac:dyDescent="0.25">
      <c r="A47" s="1"/>
      <c r="B47" s="2"/>
    </row>
    <row r="48" spans="1:2" x14ac:dyDescent="0.25">
      <c r="A48" s="1"/>
      <c r="B48" s="2"/>
    </row>
    <row r="49" spans="1:2" x14ac:dyDescent="0.25">
      <c r="A49" s="1"/>
      <c r="B49" s="2"/>
    </row>
    <row r="50" spans="1:2" x14ac:dyDescent="0.25">
      <c r="A50" s="1"/>
      <c r="B50" s="2"/>
    </row>
    <row r="51" spans="1:2" x14ac:dyDescent="0.25">
      <c r="A51" s="1"/>
      <c r="B51" s="2"/>
    </row>
    <row r="52" spans="1:2" x14ac:dyDescent="0.25">
      <c r="A52" s="1"/>
      <c r="B52" s="2"/>
    </row>
    <row r="53" spans="1:2" x14ac:dyDescent="0.25">
      <c r="A53" s="1"/>
      <c r="B53" s="2"/>
    </row>
    <row r="54" spans="1:2" x14ac:dyDescent="0.25">
      <c r="A54" s="1"/>
      <c r="B54" s="2"/>
    </row>
    <row r="55" spans="1:2" x14ac:dyDescent="0.25">
      <c r="A55" s="1"/>
      <c r="B55" s="2"/>
    </row>
    <row r="56" spans="1:2" x14ac:dyDescent="0.25">
      <c r="A56" s="1"/>
      <c r="B56" s="2"/>
    </row>
    <row r="57" spans="1:2" x14ac:dyDescent="0.25">
      <c r="A57" s="1"/>
      <c r="B57" s="2"/>
    </row>
    <row r="58" spans="1:2" x14ac:dyDescent="0.25">
      <c r="A58" s="1"/>
      <c r="B58" s="2"/>
    </row>
    <row r="59" spans="1:2" x14ac:dyDescent="0.25">
      <c r="A59" s="1"/>
      <c r="B59" s="2"/>
    </row>
    <row r="60" spans="1:2" x14ac:dyDescent="0.25">
      <c r="A60" s="1"/>
      <c r="B60" s="2"/>
    </row>
    <row r="61" spans="1:2" x14ac:dyDescent="0.25">
      <c r="A61" s="1"/>
      <c r="B61" s="2"/>
    </row>
    <row r="62" spans="1:2" x14ac:dyDescent="0.25">
      <c r="A62" s="1"/>
      <c r="B62" s="2"/>
    </row>
    <row r="63" spans="1:2" x14ac:dyDescent="0.25">
      <c r="A63" s="1"/>
      <c r="B63" s="2"/>
    </row>
    <row r="64" spans="1:2" x14ac:dyDescent="0.25">
      <c r="A64" s="1"/>
      <c r="B64" s="2"/>
    </row>
    <row r="65" spans="1:2" x14ac:dyDescent="0.25">
      <c r="A65" s="1"/>
      <c r="B65" s="2"/>
    </row>
    <row r="66" spans="1:2" x14ac:dyDescent="0.25">
      <c r="A66" s="1"/>
      <c r="B66" s="2"/>
    </row>
    <row r="67" spans="1:2" x14ac:dyDescent="0.25">
      <c r="A67" s="1"/>
      <c r="B67" s="2"/>
    </row>
    <row r="68" spans="1:2" x14ac:dyDescent="0.25">
      <c r="A68" s="1"/>
      <c r="B68" s="2"/>
    </row>
    <row r="69" spans="1:2" x14ac:dyDescent="0.25">
      <c r="A69" s="1"/>
      <c r="B69" s="2"/>
    </row>
    <row r="70" spans="1:2" x14ac:dyDescent="0.25">
      <c r="A70" s="1"/>
      <c r="B70" s="2"/>
    </row>
    <row r="71" spans="1:2" x14ac:dyDescent="0.25">
      <c r="A71" s="1"/>
      <c r="B71" s="2"/>
    </row>
    <row r="72" spans="1:2" x14ac:dyDescent="0.25">
      <c r="A72" s="1"/>
      <c r="B72" s="2"/>
    </row>
    <row r="73" spans="1:2" x14ac:dyDescent="0.25">
      <c r="A73" s="1"/>
      <c r="B73" s="2"/>
    </row>
    <row r="74" spans="1:2" x14ac:dyDescent="0.25">
      <c r="A74" s="1"/>
      <c r="B74" s="2"/>
    </row>
    <row r="75" spans="1:2" x14ac:dyDescent="0.25">
      <c r="A75" s="1"/>
      <c r="B75" s="2"/>
    </row>
    <row r="76" spans="1:2" x14ac:dyDescent="0.25">
      <c r="A76" s="1"/>
      <c r="B76" s="2"/>
    </row>
    <row r="77" spans="1:2" x14ac:dyDescent="0.25">
      <c r="A77" s="1"/>
      <c r="B77" s="2"/>
    </row>
    <row r="78" spans="1:2" x14ac:dyDescent="0.25">
      <c r="A78" s="1"/>
      <c r="B78" s="2"/>
    </row>
    <row r="79" spans="1:2" x14ac:dyDescent="0.25">
      <c r="A79" s="1"/>
      <c r="B79" s="2"/>
    </row>
    <row r="80" spans="1:2" x14ac:dyDescent="0.25">
      <c r="A80" s="1"/>
      <c r="B80" s="2"/>
    </row>
    <row r="81" spans="1:2" x14ac:dyDescent="0.25">
      <c r="A81" s="1"/>
      <c r="B81" s="2"/>
    </row>
    <row r="82" spans="1:2" x14ac:dyDescent="0.25">
      <c r="A82" s="1"/>
      <c r="B82" s="2"/>
    </row>
    <row r="83" spans="1:2" x14ac:dyDescent="0.25">
      <c r="A83" s="1"/>
      <c r="B83" s="2"/>
    </row>
    <row r="84" spans="1:2" x14ac:dyDescent="0.25">
      <c r="A84" s="1"/>
      <c r="B84" s="2"/>
    </row>
    <row r="85" spans="1:2" x14ac:dyDescent="0.25">
      <c r="A85" s="1"/>
      <c r="B85" s="2"/>
    </row>
    <row r="86" spans="1:2" x14ac:dyDescent="0.25">
      <c r="A86" s="1"/>
      <c r="B86" s="2"/>
    </row>
    <row r="87" spans="1:2" x14ac:dyDescent="0.25">
      <c r="A87" s="1"/>
      <c r="B87" s="2"/>
    </row>
    <row r="88" spans="1:2" x14ac:dyDescent="0.25">
      <c r="A88" s="1"/>
      <c r="B88" s="2"/>
    </row>
    <row r="89" spans="1:2" x14ac:dyDescent="0.25">
      <c r="A89" s="1"/>
      <c r="B89" s="2"/>
    </row>
    <row r="90" spans="1:2" x14ac:dyDescent="0.25">
      <c r="A90" s="1"/>
      <c r="B90" s="2"/>
    </row>
    <row r="91" spans="1:2" x14ac:dyDescent="0.25">
      <c r="A91" s="1"/>
      <c r="B91" s="2"/>
    </row>
    <row r="92" spans="1:2" x14ac:dyDescent="0.25">
      <c r="A92" s="1"/>
      <c r="B92" s="2"/>
    </row>
    <row r="93" spans="1:2" x14ac:dyDescent="0.25">
      <c r="A93" s="1"/>
      <c r="B93" s="2"/>
    </row>
    <row r="94" spans="1:2" x14ac:dyDescent="0.25">
      <c r="A94" s="1"/>
      <c r="B94" s="2"/>
    </row>
    <row r="95" spans="1:2" x14ac:dyDescent="0.25">
      <c r="A95" s="1"/>
      <c r="B95" s="2"/>
    </row>
    <row r="96" spans="1:2" x14ac:dyDescent="0.25">
      <c r="A96" s="1"/>
      <c r="B96" s="2"/>
    </row>
    <row r="97" spans="1:2" x14ac:dyDescent="0.25">
      <c r="A97" s="1"/>
      <c r="B97" s="2"/>
    </row>
    <row r="98" spans="1:2" x14ac:dyDescent="0.25">
      <c r="A98" s="1"/>
      <c r="B98" s="2"/>
    </row>
    <row r="99" spans="1:2" x14ac:dyDescent="0.25">
      <c r="A99" s="1"/>
      <c r="B99" s="2"/>
    </row>
    <row r="100" spans="1:2" x14ac:dyDescent="0.25">
      <c r="A100" s="1"/>
      <c r="B100" s="2"/>
    </row>
    <row r="101" spans="1:2" x14ac:dyDescent="0.25">
      <c r="A101" s="1"/>
      <c r="B101" s="2"/>
    </row>
    <row r="102" spans="1:2" x14ac:dyDescent="0.25">
      <c r="A102" s="1"/>
      <c r="B102" s="2"/>
    </row>
    <row r="103" spans="1:2" x14ac:dyDescent="0.25">
      <c r="A103" s="1"/>
      <c r="B103" s="2"/>
    </row>
    <row r="104" spans="1:2" x14ac:dyDescent="0.25">
      <c r="A104" s="1"/>
      <c r="B104" s="2"/>
    </row>
    <row r="105" spans="1:2" x14ac:dyDescent="0.25">
      <c r="A105" s="1"/>
      <c r="B105" s="2"/>
    </row>
    <row r="106" spans="1:2" x14ac:dyDescent="0.25">
      <c r="A106" s="1"/>
      <c r="B106" s="2"/>
    </row>
    <row r="107" spans="1:2" x14ac:dyDescent="0.25">
      <c r="A107" s="1"/>
      <c r="B107" s="2"/>
    </row>
    <row r="108" spans="1:2" x14ac:dyDescent="0.25">
      <c r="A108" s="1"/>
      <c r="B108" s="2"/>
    </row>
    <row r="109" spans="1:2" x14ac:dyDescent="0.25">
      <c r="A109" s="1"/>
      <c r="B109" s="2"/>
    </row>
    <row r="110" spans="1:2" x14ac:dyDescent="0.25">
      <c r="A110" s="1"/>
      <c r="B110" s="2"/>
    </row>
    <row r="111" spans="1:2" x14ac:dyDescent="0.25">
      <c r="A111" s="1"/>
      <c r="B111" s="2"/>
    </row>
    <row r="112" spans="1:2" x14ac:dyDescent="0.25">
      <c r="A112" s="1"/>
      <c r="B112" s="2"/>
    </row>
    <row r="113" spans="1:2" x14ac:dyDescent="0.25">
      <c r="A113" s="1"/>
      <c r="B113" s="2"/>
    </row>
    <row r="114" spans="1:2" x14ac:dyDescent="0.25">
      <c r="A114" s="1"/>
      <c r="B114" s="2"/>
    </row>
    <row r="115" spans="1:2" x14ac:dyDescent="0.25">
      <c r="A115" s="1"/>
      <c r="B115" s="2"/>
    </row>
    <row r="116" spans="1:2" x14ac:dyDescent="0.25">
      <c r="A116" s="1"/>
      <c r="B116" s="2"/>
    </row>
    <row r="117" spans="1:2" x14ac:dyDescent="0.25">
      <c r="A117" s="1"/>
      <c r="B117" s="2"/>
    </row>
    <row r="118" spans="1:2" x14ac:dyDescent="0.25">
      <c r="A118" s="1"/>
      <c r="B118" s="2"/>
    </row>
    <row r="119" spans="1:2" x14ac:dyDescent="0.25">
      <c r="A119" s="1"/>
      <c r="B119" s="2"/>
    </row>
    <row r="120" spans="1:2" x14ac:dyDescent="0.25">
      <c r="A120" s="1"/>
      <c r="B120" s="2"/>
    </row>
    <row r="121" spans="1:2" x14ac:dyDescent="0.25">
      <c r="A121" s="1"/>
      <c r="B121" s="2"/>
    </row>
    <row r="122" spans="1:2" x14ac:dyDescent="0.25">
      <c r="A122" s="1"/>
      <c r="B122" s="2"/>
    </row>
    <row r="123" spans="1:2" x14ac:dyDescent="0.25">
      <c r="A123" s="1"/>
      <c r="B123" s="2"/>
    </row>
    <row r="124" spans="1:2" x14ac:dyDescent="0.25">
      <c r="A124" s="1"/>
      <c r="B124" s="2"/>
    </row>
    <row r="125" spans="1:2" x14ac:dyDescent="0.25">
      <c r="A125" s="1"/>
      <c r="B125" s="2"/>
    </row>
    <row r="126" spans="1:2" x14ac:dyDescent="0.25">
      <c r="A126" s="1"/>
      <c r="B126" s="2"/>
    </row>
    <row r="127" spans="1:2" x14ac:dyDescent="0.25">
      <c r="A127" s="1"/>
      <c r="B127" s="2"/>
    </row>
    <row r="128" spans="1:2" x14ac:dyDescent="0.25">
      <c r="A128" s="1"/>
      <c r="B128" s="2"/>
    </row>
    <row r="129" spans="1:2" x14ac:dyDescent="0.25">
      <c r="A129" s="1"/>
      <c r="B129" s="2"/>
    </row>
    <row r="130" spans="1:2" x14ac:dyDescent="0.25">
      <c r="A130" s="1"/>
      <c r="B130" s="2"/>
    </row>
    <row r="131" spans="1:2" x14ac:dyDescent="0.25">
      <c r="A131" s="1"/>
      <c r="B131" s="2"/>
    </row>
    <row r="132" spans="1:2" x14ac:dyDescent="0.25">
      <c r="A132" s="1"/>
      <c r="B132" s="2"/>
    </row>
    <row r="133" spans="1:2" x14ac:dyDescent="0.25">
      <c r="A133" s="1"/>
      <c r="B133" s="2"/>
    </row>
    <row r="134" spans="1:2" x14ac:dyDescent="0.25">
      <c r="A134" s="1"/>
      <c r="B134" s="2"/>
    </row>
    <row r="135" spans="1:2" x14ac:dyDescent="0.25">
      <c r="A135" s="1"/>
      <c r="B135" s="2"/>
    </row>
    <row r="136" spans="1:2" x14ac:dyDescent="0.25">
      <c r="A136" s="1"/>
      <c r="B136" s="2"/>
    </row>
    <row r="137" spans="1:2" x14ac:dyDescent="0.25">
      <c r="A137" s="1"/>
      <c r="B137" s="2"/>
    </row>
    <row r="138" spans="1:2" x14ac:dyDescent="0.25">
      <c r="A138" s="1"/>
      <c r="B138" s="2"/>
    </row>
    <row r="139" spans="1:2" x14ac:dyDescent="0.25">
      <c r="A139" s="1"/>
      <c r="B139" s="2"/>
    </row>
    <row r="140" spans="1:2" x14ac:dyDescent="0.25">
      <c r="A140" s="1"/>
      <c r="B140" s="2"/>
    </row>
    <row r="141" spans="1:2" x14ac:dyDescent="0.25">
      <c r="A141" s="1"/>
      <c r="B141" s="2"/>
    </row>
    <row r="142" spans="1:2" x14ac:dyDescent="0.25">
      <c r="A142" s="1"/>
      <c r="B142" s="2"/>
    </row>
    <row r="143" spans="1:2" x14ac:dyDescent="0.25">
      <c r="A143" s="1"/>
      <c r="B143" s="2"/>
    </row>
    <row r="144" spans="1:2" x14ac:dyDescent="0.25">
      <c r="A144" s="1"/>
      <c r="B144" s="2"/>
    </row>
    <row r="145" spans="1:2" x14ac:dyDescent="0.25">
      <c r="A145" s="1"/>
      <c r="B145" s="2"/>
    </row>
    <row r="146" spans="1:2" x14ac:dyDescent="0.25">
      <c r="A146" s="1"/>
      <c r="B146" s="2"/>
    </row>
    <row r="147" spans="1:2" x14ac:dyDescent="0.25">
      <c r="A147" s="1"/>
      <c r="B147" s="2"/>
    </row>
    <row r="148" spans="1:2" x14ac:dyDescent="0.25">
      <c r="A148" s="1"/>
      <c r="B148" s="2"/>
    </row>
    <row r="149" spans="1:2" x14ac:dyDescent="0.25">
      <c r="A149" s="1"/>
      <c r="B149" s="2"/>
    </row>
    <row r="150" spans="1:2" x14ac:dyDescent="0.25">
      <c r="A150" s="1"/>
      <c r="B150" s="2"/>
    </row>
    <row r="151" spans="1:2" x14ac:dyDescent="0.25">
      <c r="A151" s="1"/>
      <c r="B151" s="2"/>
    </row>
    <row r="152" spans="1:2" x14ac:dyDescent="0.25">
      <c r="A152" s="1"/>
      <c r="B152" s="2"/>
    </row>
    <row r="153" spans="1:2" x14ac:dyDescent="0.25">
      <c r="A153" s="1"/>
      <c r="B153" s="2"/>
    </row>
    <row r="154" spans="1:2" x14ac:dyDescent="0.25">
      <c r="A154" s="1"/>
      <c r="B154" s="2"/>
    </row>
    <row r="155" spans="1:2" x14ac:dyDescent="0.25">
      <c r="A155" s="1"/>
      <c r="B155" s="2"/>
    </row>
    <row r="156" spans="1:2" x14ac:dyDescent="0.25">
      <c r="A156" s="1"/>
      <c r="B156" s="2"/>
    </row>
    <row r="157" spans="1:2" x14ac:dyDescent="0.25">
      <c r="A157" s="1"/>
      <c r="B157" s="2"/>
    </row>
    <row r="158" spans="1:2" x14ac:dyDescent="0.25">
      <c r="A158" s="1"/>
      <c r="B158" s="2"/>
    </row>
    <row r="159" spans="1:2" x14ac:dyDescent="0.25">
      <c r="A159" s="1"/>
      <c r="B159" s="2"/>
    </row>
    <row r="160" spans="1:2" x14ac:dyDescent="0.25">
      <c r="A160" s="1"/>
      <c r="B160" s="2"/>
    </row>
    <row r="161" spans="1:2" x14ac:dyDescent="0.25">
      <c r="A161" s="1"/>
      <c r="B161" s="2"/>
    </row>
    <row r="162" spans="1:2" x14ac:dyDescent="0.25">
      <c r="A162" s="1"/>
      <c r="B162" s="2"/>
    </row>
    <row r="163" spans="1:2" x14ac:dyDescent="0.25">
      <c r="A163" s="1"/>
      <c r="B163" s="2"/>
    </row>
    <row r="164" spans="1:2" x14ac:dyDescent="0.25">
      <c r="A164" s="1"/>
      <c r="B164" s="2"/>
    </row>
    <row r="165" spans="1:2" x14ac:dyDescent="0.25">
      <c r="A165" s="1"/>
      <c r="B165" s="2"/>
    </row>
    <row r="166" spans="1:2" x14ac:dyDescent="0.25">
      <c r="A166" s="1"/>
      <c r="B166" s="2"/>
    </row>
    <row r="167" spans="1:2" x14ac:dyDescent="0.25">
      <c r="A167" s="1"/>
      <c r="B167" s="2"/>
    </row>
    <row r="168" spans="1:2" x14ac:dyDescent="0.25">
      <c r="A168" s="1"/>
      <c r="B168" s="2"/>
    </row>
    <row r="169" spans="1:2" x14ac:dyDescent="0.25">
      <c r="A169" s="1"/>
      <c r="B169" s="2"/>
    </row>
    <row r="170" spans="1:2" x14ac:dyDescent="0.25">
      <c r="A170" s="1"/>
      <c r="B170" s="2"/>
    </row>
    <row r="171" spans="1:2" x14ac:dyDescent="0.25">
      <c r="A171" s="1"/>
      <c r="B171" s="2"/>
    </row>
    <row r="172" spans="1:2" x14ac:dyDescent="0.25">
      <c r="A172" s="1"/>
      <c r="B172" s="2"/>
    </row>
    <row r="173" spans="1:2" x14ac:dyDescent="0.25">
      <c r="A173" s="1"/>
      <c r="B173" s="2"/>
    </row>
    <row r="174" spans="1:2" x14ac:dyDescent="0.25">
      <c r="A174" s="1"/>
      <c r="B174" s="2"/>
    </row>
    <row r="175" spans="1:2" x14ac:dyDescent="0.25">
      <c r="A175" s="1"/>
      <c r="B175" s="2"/>
    </row>
    <row r="176" spans="1:2" x14ac:dyDescent="0.25">
      <c r="A176" s="1"/>
      <c r="B176" s="2"/>
    </row>
    <row r="177" spans="1:2" x14ac:dyDescent="0.25">
      <c r="A177" s="1"/>
      <c r="B177" s="2"/>
    </row>
    <row r="178" spans="1:2" x14ac:dyDescent="0.25">
      <c r="A178" s="1"/>
      <c r="B178" s="2"/>
    </row>
    <row r="179" spans="1:2" x14ac:dyDescent="0.25">
      <c r="A179" s="1"/>
      <c r="B179" s="2"/>
    </row>
    <row r="180" spans="1:2" x14ac:dyDescent="0.25">
      <c r="A180" s="1"/>
      <c r="B180" s="2"/>
    </row>
    <row r="181" spans="1:2" x14ac:dyDescent="0.25">
      <c r="A181" s="1"/>
      <c r="B181" s="2"/>
    </row>
    <row r="182" spans="1:2" x14ac:dyDescent="0.25">
      <c r="A182" s="1"/>
      <c r="B182" s="2"/>
    </row>
    <row r="183" spans="1:2" x14ac:dyDescent="0.25">
      <c r="A183" s="1"/>
      <c r="B183" s="2"/>
    </row>
    <row r="184" spans="1:2" x14ac:dyDescent="0.25">
      <c r="A184" s="1"/>
      <c r="B184" s="2"/>
    </row>
    <row r="185" spans="1:2" x14ac:dyDescent="0.25">
      <c r="A185" s="1"/>
      <c r="B185" s="2"/>
    </row>
    <row r="186" spans="1:2" x14ac:dyDescent="0.25">
      <c r="A186" s="1"/>
      <c r="B186" s="2"/>
    </row>
    <row r="187" spans="1:2" x14ac:dyDescent="0.25">
      <c r="A187" s="1"/>
      <c r="B187" s="2"/>
    </row>
    <row r="188" spans="1:2" x14ac:dyDescent="0.25">
      <c r="A188" s="1"/>
      <c r="B188" s="2"/>
    </row>
    <row r="189" spans="1:2" x14ac:dyDescent="0.25">
      <c r="A189" s="1"/>
      <c r="B189" s="2"/>
    </row>
    <row r="190" spans="1:2" x14ac:dyDescent="0.25">
      <c r="A190" s="1"/>
      <c r="B190" s="2"/>
    </row>
    <row r="191" spans="1:2" x14ac:dyDescent="0.25">
      <c r="A191" s="1"/>
      <c r="B191" s="2"/>
    </row>
    <row r="192" spans="1:2" x14ac:dyDescent="0.25">
      <c r="A192" s="1"/>
      <c r="B192" s="2"/>
    </row>
    <row r="193" spans="1:2" x14ac:dyDescent="0.25">
      <c r="A193" s="1"/>
      <c r="B193" s="2"/>
    </row>
    <row r="194" spans="1:2" x14ac:dyDescent="0.25">
      <c r="A194" s="1"/>
      <c r="B194" s="2"/>
    </row>
    <row r="195" spans="1:2" x14ac:dyDescent="0.25">
      <c r="A195" s="1"/>
      <c r="B195" s="2"/>
    </row>
    <row r="196" spans="1:2" x14ac:dyDescent="0.25">
      <c r="A196" s="1"/>
      <c r="B196" s="2"/>
    </row>
    <row r="197" spans="1:2" x14ac:dyDescent="0.25">
      <c r="A197" s="1"/>
      <c r="B197" s="2"/>
    </row>
    <row r="198" spans="1:2" x14ac:dyDescent="0.25">
      <c r="A198" s="1"/>
      <c r="B198" s="2"/>
    </row>
    <row r="199" spans="1:2" x14ac:dyDescent="0.25">
      <c r="A199" s="1"/>
      <c r="B199" s="2"/>
    </row>
    <row r="200" spans="1:2" x14ac:dyDescent="0.25">
      <c r="A200" s="1"/>
      <c r="B200" s="2"/>
    </row>
    <row r="201" spans="1:2" x14ac:dyDescent="0.25">
      <c r="A201" s="1"/>
      <c r="B201" s="2"/>
    </row>
    <row r="202" spans="1:2" x14ac:dyDescent="0.25">
      <c r="A202" s="1"/>
      <c r="B202" s="2"/>
    </row>
    <row r="203" spans="1:2" x14ac:dyDescent="0.25">
      <c r="A203" s="1"/>
    </row>
    <row r="204" spans="1:2" x14ac:dyDescent="0.25">
      <c r="A204" s="1"/>
    </row>
    <row r="205" spans="1:2" x14ac:dyDescent="0.25">
      <c r="A205" s="1"/>
    </row>
    <row r="206" spans="1:2" x14ac:dyDescent="0.25">
      <c r="A206" s="1"/>
    </row>
    <row r="207" spans="1:2" x14ac:dyDescent="0.25">
      <c r="A207" s="1"/>
    </row>
    <row r="208" spans="1:2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Sheet2</vt:lpstr>
      <vt:lpstr>Sheet2!table2</vt:lpstr>
    </vt:vector>
  </TitlesOfParts>
  <Company>Belden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Brendan RJ. Luke</dc:creator>
  <cp:lastModifiedBy>Brendan RJ. Luke</cp:lastModifiedBy>
  <dcterms:created xsi:type="dcterms:W3CDTF">2021-04-23T14:41:47Z</dcterms:created>
  <dcterms:modified xsi:type="dcterms:W3CDTF">2021-04-23T17:00:53Z</dcterms:modified>
</cp:coreProperties>
</file>